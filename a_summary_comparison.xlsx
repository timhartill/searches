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ansions_Mono_CLB" sheetId="1" state="visible" r:id="rId3"/>
    <sheet name="Time, Nodes Per Sec, Max Ram NO" sheetId="2" state="visible" r:id="rId4"/>
    <sheet name="Expansions_NonMono_CLB" sheetId="3" state="visible" r:id="rId5"/>
    <sheet name="NBS and DVCHS HOG2"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<sst xmlns="http://schemas.openxmlformats.org/spreadsheetml/2006/main" count="670" uniqueCount="405">
  <si>
    <t xml:space="preserve">Summary Results – total nodes expanded &lt;= C*. Mine are 2 probs avged, others are full avgs</t>
  </si>
  <si>
    <t xml:space="preserve">BAE*  19-30-57 + 00-49-08 + 03-13-21 + 04-41-10 + 00-44-42 + 01-03-50 + 01-10-12</t>
  </si>
  <si>
    <t xml:space="preserve">NBS/NBB WITH NON MONO CLB &lt;C* miscount</t>
  </si>
  <si>
    <t xml:space="preserve">19-30-57+ 08-48-52</t>
  </si>
  <si>
    <t xml:space="preserve">NBS/NBB MONOTONIC CLB + HOG2 Optimizations (SAME WITH or WITHOUT selFonUSet) 14-02-52 + 23-56-57 + 10-53-29/04-39-38 + 19-30-57 + 03-13-21+ 08-48-52</t>
  </si>
  <si>
    <t xml:space="preserve">Single Dir Single (First) Node verF – 10-53-29 + 03-13-21 + 08-48-52</t>
  </si>
  <si>
    <t xml:space="preserve">16-27-29 +10-25-57 NonMono CLB, No HOG2 Opts</t>
  </si>
  <si>
    <t xml:space="preserve">DVCBS F MONO CLB, HOG2 OPT, NO selFonUSet 14-02-52  + 23-56-57 + 10-53-29/04-39-38 + 01-03-41 + 03-13-21 + 02-03-56 + 20-28-41 + 20-25-54 + 05-29-41</t>
  </si>
  <si>
    <t xml:space="preserve">01-03-41</t>
  </si>
  <si>
    <t xml:space="preserve">DVCBS A MONO CLB, HOG2 OPT, NO selFonUSet 14-02-52  + 23-58-57 + 10-53-29/04-39-38 + 01-03-41 + 03-13-21 + 02-03-56 + 20-25-54</t>
  </si>
  <si>
    <t xml:space="preserve">MOST CONNECTED MONO CLB, HOG2 OPT, NO selFonUSet 14-02-52 + 23-58-57 + 10-53-29/04-39-38 + 01-03-41 + 03-13-21 + 02-03-56 + 20-28-41 + 05-32-21</t>
  </si>
  <si>
    <t xml:space="preserve">SmallestG MONO CLG, HOG2 OPT, NO selFonUSet 14-02-52 + 23-58-57+ 10-53-29/04-39-38 + 01-03-41 + 03-13-21 + 20-30-47 + 05-34-32 + 08-48-52</t>
  </si>
  <si>
    <t xml:space="preserve">SmallestGF MONO CLG, HOG2 OPT, NO selFonUSet  14-02-52 + 23-58-57+ 10-53-29/04-39-38 + 01-03-41 + 03-13-21 + 20-30-47 + 05-34-32 + 08-48-52</t>
  </si>
  <si>
    <t xml:space="preserve">GBFHS F MONO CLG, HOG2 OPT, NO selFonUSet 04-49-55 + 10-35-42 + 23-49-57 + 10-53-29/04-39-38 + 01-03-41 + 03-13-21 + 02-03-56</t>
  </si>
  <si>
    <r>
      <rPr>
        <b val="true"/>
        <sz val="10"/>
        <rFont val="Arial"/>
        <family val="2"/>
        <charset val="1"/>
      </rPr>
      <t xml:space="preserve">GBFHS A </t>
    </r>
    <r>
      <rPr>
        <sz val="10"/>
        <rFont val="Arial"/>
        <family val="2"/>
        <charset val="1"/>
      </rPr>
      <t xml:space="preserve">MONO CLG, HOG2 OPT, NO selFonUSet 04-49-55 + 10-35-42 + 23-49-57</t>
    </r>
  </si>
  <si>
    <t xml:space="preserve">Chen NBS_f (no eps)</t>
  </si>
  <si>
    <t xml:space="preserve">Shperberg 2019 (eps case first soln)</t>
  </si>
  <si>
    <t xml:space="preserve">Alacazar et al 2020 (eps case first soln)</t>
  </si>
  <si>
    <t xml:space="preserve">Siag 2023</t>
  </si>
  <si>
    <t xml:space="preserve">No Eps:</t>
  </si>
  <si>
    <t xml:space="preserve">Alter A</t>
  </si>
  <si>
    <t xml:space="preserve">Alter A UG</t>
  </si>
  <si>
    <t xml:space="preserve">Alter A UG Bpmx1</t>
  </si>
  <si>
    <t xml:space="preserve">Alter F UG</t>
  </si>
  <si>
    <t xml:space="preserve">Alter F UG Bpmx1</t>
  </si>
  <si>
    <t xml:space="preserve">Alter I</t>
  </si>
  <si>
    <t xml:space="preserve">Alter I Bpmx1</t>
  </si>
  <si>
    <t xml:space="preserve">Pohl A</t>
  </si>
  <si>
    <t xml:space="preserve">Pohl A UG</t>
  </si>
  <si>
    <t xml:space="preserve">Pohl A UG Bpmx1</t>
  </si>
  <si>
    <t xml:space="preserve">Pohl F UG</t>
  </si>
  <si>
    <t xml:space="preserve">Pohl F UG Bpmx1</t>
  </si>
  <si>
    <t xml:space="preserve">Pohl I</t>
  </si>
  <si>
    <t xml:space="preserve">Pohl I Bpmx1</t>
  </si>
  <si>
    <t xml:space="preserve">Minb A</t>
  </si>
  <si>
    <t xml:space="preserve">Minb A UG</t>
  </si>
  <si>
    <t xml:space="preserve">Minb A UG bpmx1</t>
  </si>
  <si>
    <t xml:space="preserve">Rand A</t>
  </si>
  <si>
    <t xml:space="preserve">Rand A UG</t>
  </si>
  <si>
    <t xml:space="preserve">Rand A UG bpmx1</t>
  </si>
  <si>
    <t xml:space="preserve">With Eps gap_hog NO TB ie first in lowest g/lowest f:</t>
  </si>
  <si>
    <t xml:space="preserve">NBS F Bpmx1</t>
  </si>
  <si>
    <t xml:space="preserve">NBS F</t>
  </si>
  <si>
    <t xml:space="preserve">UF NBS F</t>
  </si>
  <si>
    <t xml:space="preserve">NBB F</t>
  </si>
  <si>
    <t xml:space="preserve">NBS A</t>
  </si>
  <si>
    <t xml:space="preserve">NBB A</t>
  </si>
  <si>
    <t xml:space="preserve">GBFHS F</t>
  </si>
  <si>
    <t xml:space="preserve">GBFHS F bpmx1</t>
  </si>
  <si>
    <t xml:space="preserve">Pohl F</t>
  </si>
  <si>
    <t xml:space="preserve">Pohl F bpmx1</t>
  </si>
  <si>
    <t xml:space="preserve">Rand F</t>
  </si>
  <si>
    <t xml:space="preserve">Rand F bpmx1</t>
  </si>
  <si>
    <t xml:space="preserve">Rand Rand F</t>
  </si>
  <si>
    <t xml:space="preserve">DVCBS F FIFO Glevel exp</t>
  </si>
  <si>
    <t xml:space="preserve">FIFO Glevel exp</t>
  </si>
  <si>
    <t xml:space="preserve">UF FIFO Glevel exp</t>
  </si>
  <si>
    <t xml:space="preserve">FIFO GF bucket exp</t>
  </si>
  <si>
    <t xml:space="preserve">UF FIFO GF bucket exp</t>
  </si>
  <si>
    <t xml:space="preserve">FIFO F exp</t>
  </si>
  <si>
    <t xml:space="preserve">RAND Glevel exp</t>
  </si>
  <si>
    <t xml:space="preserve">UF RAND Glevel exp</t>
  </si>
  <si>
    <t xml:space="preserve">NONE Glevel exp</t>
  </si>
  <si>
    <t xml:space="preserve">NONE Glevel exp bpmx1</t>
  </si>
  <si>
    <t xml:space="preserve">UF NONE Glevel exp</t>
  </si>
  <si>
    <t xml:space="preserve">UF2 NONE Glevel exp</t>
  </si>
  <si>
    <t xml:space="preserve">UF2 NONE Glevel exp bpmx1</t>
  </si>
  <si>
    <t xml:space="preserve">NONE GF exp</t>
  </si>
  <si>
    <t xml:space="preserve">NONE GF exp bpmx1</t>
  </si>
  <si>
    <t xml:space="preserve">UF NONE GF exp</t>
  </si>
  <si>
    <t xml:space="preserve">UF2 NONE GF exp</t>
  </si>
  <si>
    <t xml:space="preserve">UF2 NONE GF exp bpmx1</t>
  </si>
  <si>
    <t xml:space="preserve">RAND G bucket exp</t>
  </si>
  <si>
    <t xml:space="preserve">UF RAND G bucket exp</t>
  </si>
  <si>
    <t xml:space="preserve">NONE G bucket exp</t>
  </si>
  <si>
    <t xml:space="preserve">NONE G bucket exp bpmx1</t>
  </si>
  <si>
    <t xml:space="preserve">UF NONE G bucket exp</t>
  </si>
  <si>
    <t xml:space="preserve">UF2 NONE G bucket exp</t>
  </si>
  <si>
    <t xml:space="preserve">UF2 NONE Gbucket BPMX1</t>
  </si>
  <si>
    <t xml:space="preserve">MC F</t>
  </si>
  <si>
    <t xml:space="preserve">MC F bpmx1</t>
  </si>
  <si>
    <t xml:space="preserve">UF MC F</t>
  </si>
  <si>
    <t xml:space="preserve">UF2 MC F</t>
  </si>
  <si>
    <t xml:space="preserve">UF2 MC F bpmx1</t>
  </si>
  <si>
    <t xml:space="preserve">MC A</t>
  </si>
  <si>
    <t xml:space="preserve">UF MC A</t>
  </si>
  <si>
    <t xml:space="preserve">Smallest Glevel Exp</t>
  </si>
  <si>
    <t xml:space="preserve">Smallest Glevel Exp bpmx1</t>
  </si>
  <si>
    <t xml:space="preserve">UF Smallest Glevel Exp</t>
  </si>
  <si>
    <t xml:space="preserve">UF2 Smallest Glevel Exp</t>
  </si>
  <si>
    <t xml:space="preserve">UF2 Smallest Glevel Exp bpmx1</t>
  </si>
  <si>
    <t xml:space="preserve">Smallest GF Bucket Exp</t>
  </si>
  <si>
    <t xml:space="preserve">Smallest GF Bucket Exp bpmx1</t>
  </si>
  <si>
    <t xml:space="preserve">UF Smallest GF Bucket Exp</t>
  </si>
  <si>
    <t xml:space="preserve">UF2 Smallest GF Bucket Exp</t>
  </si>
  <si>
    <t xml:space="preserve">UF2 Smallest GF Bucket Exp bpmx1</t>
  </si>
  <si>
    <t xml:space="preserve">NBB dir GBFHS Exp</t>
  </si>
  <si>
    <t xml:space="preserve">Alter dir GBFHS Exp</t>
  </si>
  <si>
    <t xml:space="preserve">GBFHS dir GBFHS Exp</t>
  </si>
  <si>
    <t xml:space="preserve">GBFHS dir GBFHS Exp bpmx1</t>
  </si>
  <si>
    <t xml:space="preserve">UF GBFHS dir GBFHS Exp</t>
  </si>
  <si>
    <t xml:space="preserve">UF2 GBFHS dir GBFHS Exp</t>
  </si>
  <si>
    <t xml:space="preserve">UF2 GBFHS dir GBFHS Exp bpmx1</t>
  </si>
  <si>
    <t xml:space="preserve">GBFHS dir lowg Exp</t>
  </si>
  <si>
    <t xml:space="preserve">UF GBFHS dir lowg Exp</t>
  </si>
  <si>
    <t xml:space="preserve">UF2 GBFHS dir lowg Exp</t>
  </si>
  <si>
    <t xml:space="preserve">UF2 GBFHS dir lowg Exp bpmx1</t>
  </si>
  <si>
    <t xml:space="preserve">A*</t>
  </si>
  <si>
    <t xml:space="preserve">NBS_f</t>
  </si>
  <si>
    <t xml:space="preserve">NBS_a</t>
  </si>
  <si>
    <t xml:space="preserve">DVCBS_f</t>
  </si>
  <si>
    <t xml:space="preserve">DVCBS_a</t>
  </si>
  <si>
    <t xml:space="preserve">NBB(NBS_a)</t>
  </si>
  <si>
    <t xml:space="preserve">GBFHS_e</t>
  </si>
  <si>
    <t xml:space="preserve">NBS</t>
  </si>
  <si>
    <t xml:space="preserve">DVCBS</t>
  </si>
  <si>
    <t xml:space="preserve">BAE* (Alter)</t>
  </si>
  <si>
    <t xml:space="preserve">A* TB NONE C&gt;=U Term WITH DUPFIX AND DAOFIX AND TOHFIX</t>
  </si>
  <si>
    <t xml:space="preserve">A* TB -G C&gt;=U Term WITH DUPFIX AND DAOFIX AND TOHFIX</t>
  </si>
  <si>
    <t xml:space="preserve">BiDirLBPairs-lb_alter_first_none_bae_a-dirA-selF-ordNONE-verA-dsD-eps1.0-ufFalse-bpmx1False-himpFalse-rustFalse</t>
  </si>
  <si>
    <t xml:space="preserve">BiDirLBPairs-lb_alter_first_none_bae_a_eps_ug-dirA-selF-ordNONE-verA-dsD-eps1.0-ufTrue-bpmx1False-himpFalse-rustFalse</t>
  </si>
  <si>
    <t xml:space="preserve">BiDirLBPairs-lb_alter_first_none_bae_a_eps_ug_bpmx1-dirA-selF-ordNONE-verA-dsD-eps1.0-ufTrue-bpmx1True-himpFalse-rustFalse</t>
  </si>
  <si>
    <t xml:space="preserve">BiDirLBPairs-lb_alter_first_none_bae_f_eps_ug-dirA-selF-ordNONE-verF-dsD-eps1.0-ufTrue-bpmx1False-himpFalse-rustFalse</t>
  </si>
  <si>
    <t xml:space="preserve">BiDirLBPairs-lb_alter_first_none_bae_f_eps_ug_bpmx1-dirA-selF-ordNONE-verF-dsD-eps1.0-ufTrue-bpmx1True-himpFalse-rustFalse</t>
  </si>
  <si>
    <t xml:space="preserve">BiDirLBPairs-lb_alter_first_none_bae_i_eps-dirA-selF-ordNONE-verI-dsD-eps1.0-ufFalse-bpmx1False-himpFalse-rustFalse</t>
  </si>
  <si>
    <t xml:space="preserve">BiDirLBPairs-lb_alter_first_none_bae_i_eps_bpmx1-dirA-selF-ordNONE-verI-dsD-eps1.0-ufFalse-bpmx1True-himpFalse-rustFalse</t>
  </si>
  <si>
    <t xml:space="preserve">BiDirLBPairs-lb_pohl_first_none_bae_a-dirP-selF-ordNONE-verA-dsD-eps1.0-ufFalse-bpmx1False-himpFalse-rustFalse</t>
  </si>
  <si>
    <t xml:space="preserve">BiDirLBPairs-lb_pohl_first_none_bae_a_eps_ug-dirP-selF-ordNONE-verA-dsD-eps1.0-ufTrue-bpmx1False-himpFalse-rustFalse</t>
  </si>
  <si>
    <t xml:space="preserve">BiDirLBPairs-lb_pohl_first_none_bae_a_eps_ug_bpmx1-dirP-selF-ordNONE-verA-dsD-eps1.0-ufTrue-bpmx1True-himpFalse-rustFalse</t>
  </si>
  <si>
    <t xml:space="preserve">BiDirLBPairs-lb_pohl_first_none_bae_f_eps_ug-dirP-selF-ordNONE-verF-dsD-eps1.0-ufTrue-bpmx1False-himpFalse-rustFalse</t>
  </si>
  <si>
    <t xml:space="preserve">BiDirLBPairs-lb_pohl_first_none_bae_f_eps_ug_bpmx1-dirP-selF-ordNONE-verF-dsD-eps1.0-ufTrue-bpmx1True-himpFalse-rustFalse</t>
  </si>
  <si>
    <t xml:space="preserve">BiDirLBPairs-lb_pohl_first_none_bae_i_eps-dirP-selF-ordNONE-verI-dsD-eps1.0-ufFalse-bpmx1False-himpFalse-rustFalse</t>
  </si>
  <si>
    <t xml:space="preserve">BiDirLBPairs-lb_minb_first_none_bae_a-dirG-selF-ordNONE-verA-dsD-eps1.0-ufFalse-bpmx1False-himpFalse-rustFalse</t>
  </si>
  <si>
    <t xml:space="preserve">BiDirLBPairs-lb_minb_first_none_bae_a_eps_ug-dirG-selF-ordNONE-verA-dsD-eps1.0-ufTrue-bpmx1False-himpFalse-rustFalse</t>
  </si>
  <si>
    <t xml:space="preserve">BiDirLBPairs-lb_minb_first_none_bae_a_eps_ug_bpmx1-dirG-selF-ordNONE-verA-dsD-eps1.0-ufTrue-bpmx1True-himpFalse-rustFalse</t>
  </si>
  <si>
    <t xml:space="preserve">BiDirLBPairs-lb_rand_first_none_bae_a-dirR-selF-ordNONE-verA-dsD-eps1.0-ufFalse-bpmx1False-himpFalse-rustFalse</t>
  </si>
  <si>
    <t xml:space="preserve">BiDirLBPairs-lb_rand_first_none_bae_a_eps_ug-dirR-selF-ordNONE-verA-dsD-eps1.0-ufTrue-bpmx1False-himpFalse-rustFalse</t>
  </si>
  <si>
    <t xml:space="preserve">BiDirLBPairs-lb_rand_first_none_bae_a_eps_ug_bpmx1-dirR-selF-ordNONE-verA-dsD-eps1.0-ufTrue-bpmx1True-himpFalse-rustFalse</t>
  </si>
  <si>
    <t xml:space="preserve">NBS_f TB NONE</t>
  </si>
  <si>
    <t xml:space="preserve">NBB_f TB NONE</t>
  </si>
  <si>
    <t xml:space="preserve">NBS_a TB NONE</t>
  </si>
  <si>
    <t xml:space="preserve">NBB_a TB NONE</t>
  </si>
  <si>
    <t xml:space="preserve">BiDirLBPairs-lb_nbs_f_eps_bpmx1-dirNBS-selF-ordNONE-verF-dsP-eps1.0-ufFalse-bpmx1True-himpFalse-rustFalse</t>
  </si>
  <si>
    <t xml:space="preserve">BiDirLBPairs-lb_nbs_f_eps-dirNBS-selF-ordNONE-verF-dsP-eps1.0</t>
  </si>
  <si>
    <t xml:space="preserve">BiDirLBPairs-lb_nbs_f_eps_uf-dirNBS-selF-ordNONE-verF-dsP-eps1.0-ufTrue</t>
  </si>
  <si>
    <t xml:space="preserve">BiDirLBPairs-lb_nbb_f_eps-dirNBS-selF-ordNONE-verF-dsB-eps1.0</t>
  </si>
  <si>
    <t xml:space="preserve">BiDirLBPairs-lb_nbs_a_eps-dirNBS-selF-ordNONE-verA-dsP-eps1.0</t>
  </si>
  <si>
    <t xml:space="preserve">BiDirLBPairs-lb_nbb_a_eps-dirNBS-selF-ordNONE-verA-dsB-eps1.0</t>
  </si>
  <si>
    <t xml:space="preserve">BiDirLBPairs-lb_gbfhs_first_f_eps-dirGBF-selF-ordNONE-verF-dsB-eps1.0-ufFalse</t>
  </si>
  <si>
    <t xml:space="preserve">BiDirLBPairs-lb_gbfhs_first_f_eps_bpmx1-dirGBF-selF-ordNONE-verF-dsP-eps1.0-ufFalse-bpmx1True-himpFalse-rustFalse</t>
  </si>
  <si>
    <t xml:space="preserve">BiDirLBPairs-lb_pohl_first_none_f_eps-dirP-selF-ordNONE-verF-dsB-eps1.0-ufFalse</t>
  </si>
  <si>
    <t xml:space="preserve">BiDirLBPairs-lb_pohl_first_none_f_eps_bpmx1-dirP-selF-ordNONE-verF-dsP-eps1.0-ufFalse-bpmx1True-himpFalse-rustFalse</t>
  </si>
  <si>
    <t xml:space="preserve">BiDirLBPairs-lb_rand_first_none_f_eps-dirR-selF-ordNONE-verF-dsB-eps1.0-ufFalse</t>
  </si>
  <si>
    <t xml:space="preserve">BiDirLBPairs-lb_rand_first_none_f_eps_bpmx1-dirR-selF-ordNONE-verF-dsP-eps1.0-ufFalse-bpmx1True-himpFalse-rustFalse</t>
  </si>
  <si>
    <t xml:space="preserve">BiDirLBPairs-lb_rand_rand_f_eps-dirR-selR-ordNONE-verF-dsB-eps1.0-ufFalse</t>
  </si>
  <si>
    <t xml:space="preserve">BiDirLBPairs-lb_mwvcsmallg_lowg_fifo_dvcbs_f_eps-dirSM0-selLG-ordFIFO-verF-dsB-eps1.0</t>
  </si>
  <si>
    <t xml:space="preserve">BiDirLBPairs-lb_mwvcsmallg_lowg_fifo_dvcbs_f_eps_uf-dirSM0-selLG-ordFIFO-verF-dsB-eps1.0-ufTrue</t>
  </si>
  <si>
    <t xml:space="preserve">BiDirLBPairs-lb_mwvcsmallgf_lowg_fifo_dvcbs_f_eps-dirSBM0-selSLG-ordFIFO-verF-dsB-eps1.0</t>
  </si>
  <si>
    <t xml:space="preserve">BiDirLBPairs-lb_mwvcsmallgf_lowg_fifo_dvcbs_f_eps_uf-dirSBM0-selSLG-ordFIFO-verF-dsB-eps1.0-ufTrue</t>
  </si>
  <si>
    <t xml:space="preserve">BiDirLBPairs-lb_mwvcsmallg_firstlowg_fifo_dvcbs_f_eps-dirSM0-selF-ordFIFO-verF-dsB-eps1.0</t>
  </si>
  <si>
    <t xml:space="preserve">BiDirLBPairs-lb_mwvcsmallg_lowg_rand_f_eps-dirSM0-selLG-ordR-verF-dsB-eps1.0</t>
  </si>
  <si>
    <t xml:space="preserve">BiDirLBPairs-lb_mwvcsmallg_lowg_rand_f_eps_uf-dirSM0-selLG-ordR-verF-dsB-eps1.0-ufTrue</t>
  </si>
  <si>
    <t xml:space="preserve">BiDirLBPairs-lb_mwvcsmallg_lowg_none_f_eps-dirSM0-selLG-ordNONE-verF-dsB-eps1.0</t>
  </si>
  <si>
    <t xml:space="preserve">BiDirLBPairs-lb_mwvcsmallg_lowg_none_dvcbs_f_eps_bpmx1-dirSM0-selLG-ordNONE-verF-dsB-eps1.0-ufFalse-bpmx1True-himpFalse-rustFalse</t>
  </si>
  <si>
    <t xml:space="preserve">BiDirLBPairs-lb_mwvcsmallg_lowg_none_f_eps_uf-dirSM0-selLG-ordNONE-verF-dsB-eps1.0-ufTrue</t>
  </si>
  <si>
    <t xml:space="preserve">BiDirLBPairs-lb_mwvcsmallg_lowg_none_dvcbs_f_eps_uf-dirSM0-selLG-ordNONE-verF-dsB-eps1.0-ufTrue-bpmx1False-himpFalse-rustFalse</t>
  </si>
  <si>
    <t xml:space="preserve">BiDirLBPairs-lb_mwvcsmallg_lowg_none_dvcbs_f_eps_uf_bpmx1-dirSM0-selLG-ordNONE-verF-dsB-eps1.0-ufTrue-bpmx1True-himpFalse-rustFalse</t>
  </si>
  <si>
    <t xml:space="preserve">BiDirLBPairs-lb_mwvcsmallgf_lowg_none_dvcbs_f_eps-dirSBM0-selSLG-ordNONE-verF-dsB-eps1.0-ufFalse</t>
  </si>
  <si>
    <t xml:space="preserve">BiDirLBPairs-lb_mwvcsmallgf_lowg_none_dvcbs_f_eps_bpmx1-dirSBM0-selSLG-ordNONE-verF-dsB-eps1.0-ufFalse-bpmx1True-himpFalse-rustFalse</t>
  </si>
  <si>
    <t xml:space="preserve">BiDirLBPairs-lb_mwvcsmallgf_lowg_none_dvcbs_f_eps_uf-dirSBM0-selSLG-ordNONE-verF-dsB-eps1.0-ufTrue</t>
  </si>
  <si>
    <t xml:space="preserve">BiDirLBPairs-lb_mwvcsmallgf_lowg_none_dvcbs_f_eps_uf-dirSBM0-selSLG-ordNONE-verF-dsB-eps1.0-ufTrue-bpmx1False-himpFalse-rustFalse</t>
  </si>
  <si>
    <t xml:space="preserve">BiDirLBPairs-lb_mwvcsmallgf_lowg_none_dvcbs_f_eps_uf_bpmx1-dirSBM0-selSLG-ordNONE-verF-dsB-eps1.0-ufTrue-bpmx1True-himpFalse-rustFalse</t>
  </si>
  <si>
    <t xml:space="preserve">BiDirLBPairs-lb_mwvcsmallg_lowg_fifo_dvcbs_a_eps-dirSM0-selLG-ordFIFO-verA-dsB-eps1.0</t>
  </si>
  <si>
    <t xml:space="preserve">BiDirLBPairs-lb_mwvcsmallg_lowg_fifo_dvcbs_a_eps_uf-dirSM0-selLG-ordFIFO-verA-dsB-eps1.0-ufTrue</t>
  </si>
  <si>
    <t xml:space="preserve">BiDirLBPairs-lb_mwvcsmallgf_lowg_fifo_dvcbs_a_eps-dirSBM0-selSLG-ordFIFO-verA-dsB-eps1.0</t>
  </si>
  <si>
    <t xml:space="preserve">BiDirLBPairs-lb_mwvcsmallgf_lowg_fifo_dvcbs_a_eps_uf-dirSBM0-selSLG-ordFIFO-verA-dsB-eps1.0-ufTrue</t>
  </si>
  <si>
    <t xml:space="preserve">BiDirLBPairs-lb_mwvcsmallg_firstlowg_fifo_dvcbs_a_eps-dirSM0-selF-ordFIFO-verA-dsB-eps1.0</t>
  </si>
  <si>
    <t xml:space="preserve">BiDirLBPairs-lb_mwvcsmallg_lowg_rand_a_eps-dirSM0-selLG-ordR-verA-dsB-eps1.0</t>
  </si>
  <si>
    <t xml:space="preserve">BiDirLBPairs-lb_mwvcsmallg_lowg_rand_a_eps_uf-dirSM0-selLG-ordR-verA-dsB-eps1.0-ufTrue</t>
  </si>
  <si>
    <t xml:space="preserve">BiDirLBPairs-lb_mwvcsmallg_lowg_none_dvcbs_a_eps-dirSM0-selLG-ordNONE-verA-dsB-eps1.0</t>
  </si>
  <si>
    <t xml:space="preserve">BiDirLBPairs-lb_mwvcsmallg_lowg_none_dvcbs_a_eps_bpmx1-dirSM0-selLG-ordNONE-verA-dsB-eps1.0-ufFalse-bpmx1True-himpFalse-rustFalse</t>
  </si>
  <si>
    <t xml:space="preserve">BiDirLBPairs-lb_mwvcsmallg_lowg_none_dvcbs_a_eps_uf-dirSM0-selLG-ordNONE-verA-dsB-eps1.0-ufTrue</t>
  </si>
  <si>
    <t xml:space="preserve">BiDirLBPairs-lb_mwvcsmallg_lowg_none_dvcbs_a_eps_uf-dirSM0-selLG-ordNONE-verA-dsB-eps1.0-ufTrue-bpmx1False-himpFalse-rustFalse</t>
  </si>
  <si>
    <t xml:space="preserve">BiDirLBPairs-lb_mwvcsmallg_lowg_none_dvcbs_a_eps_uf_bpmx1-dirSM0-selLG-ordNONE-verA-dsB-eps1.0-ufTrue-bpmx1True-himpFalse-rustFalse</t>
  </si>
  <si>
    <t xml:space="preserve">BiDirLBPairs-lb_mostconnectednodes_connln_f_eps-dirLN-selLN-ordNONE-verF-dsB-eps1.0 OR IDENTICALLY BiDirLBPairs-lb_mwvcmostconnectednodes_lowg_f_eps-dirLM0-selLG-ordNONE-verF-dsB-eps1.0</t>
  </si>
  <si>
    <t xml:space="preserve">BiDirLBPairs-lb_mostconnectednodes_lowg_f_eps_bpmx1-dirLN0-selLG-ordNONE-verF-dsB-eps1.0-ufFalse-bpmx1True-himpFalse-rustFalse</t>
  </si>
  <si>
    <t xml:space="preserve">BiDirLBPairs-lb_mostconnectednodes_connln_f_eps_uf-dirLN-selLN-ordNONE-verF-dsB-eps1.0-ufTrue</t>
  </si>
  <si>
    <t xml:space="preserve">BiDirLBPairs-lb_mostconnectednodes_lowg_f_eps_uf-dirLN0-selLG-ordNONE-verF-dsB-eps1.0-ufTrue-bpmx1False-himpFalse-rustFalse</t>
  </si>
  <si>
    <t xml:space="preserve">BiDirLBPairs-lb_mostconnectednodes_lowg_f_eps_uf_bpmx1-dirLN0-selLG-ordNONE-verF-dsB-eps1.0-ufTrue-bpmx1True-himpFalse-rustFalse</t>
  </si>
  <si>
    <t xml:space="preserve">BiDirLBPairs-lb_mwvcmostconnectednodes_lowg_a_eps-dirLM0-selLG-ordNONE-verA-dsB-eps1.0</t>
  </si>
  <si>
    <t xml:space="preserve">BiDirLBPairs-lb_mostconnectednodes_connln_a_eps_uf-dirLN-selLN-ordNONE-verA-dsB-eps1.0-ufTrue</t>
  </si>
  <si>
    <t xml:space="preserve">BiDirLBPairs-lb_smallg_lowg_none_f_eps-dirS0-selLG-ordNONE-verF-dsB-eps1.0</t>
  </si>
  <si>
    <t xml:space="preserve">BiDirLBPairs-lb_smallg_lowg_none_f_eps_bpmx1-dirS0-selLG-ordNONE-verF-dsB-eps1.0-ufFalse-bpmx1True-himpFalse-rustFalse</t>
  </si>
  <si>
    <t xml:space="preserve">BiDirLBPairs-lb_smallg_lowg_none_f_eps_uf-dirS0-selLG-ordNONE-verF-dsB-eps1.0-ufTrue</t>
  </si>
  <si>
    <t xml:space="preserve">BiDirLBPairs-lb_smallg_lowg_none_f_eps_uf-dirS0-selLG-ordNONE-verF-dsB-eps1.0-ufTrue-bpmx1False-himpFalse-rustFalse</t>
  </si>
  <si>
    <t xml:space="preserve">BiDirLBPairs-lb_smallg_lowg_none_f_eps_uf_bpmx1-dirS0-selLG-ordNONE-verF-dsB-eps1.0-ufTrue-bpmx1True-himpFalse-rustFalse</t>
  </si>
  <si>
    <t xml:space="preserve">BiDirLBPairs-lb_smallgf_smallblowg_f_eps-dirSB-selSBL-ordNONE-verF-dsB-eps1.0</t>
  </si>
  <si>
    <t xml:space="preserve">BiDirLBPairs-lb_smallgf_smallblowg_f_eps_bpmx1-dirSB-selSBL-ordNONE-verF-dsB-eps1.0-ufFalse-bpmx1True-himpFalse-rustFalse</t>
  </si>
  <si>
    <t xml:space="preserve">BiDirLBPairs-lb_smallgf_smallblowg_f_eps_uf-dirSB-selSBL-ordNONE-verF-dsB-eps1.0-ufTrue</t>
  </si>
  <si>
    <t xml:space="preserve">BiDirLBPairs-lb_smallgf_smallblowg_f_eps_uf-dirSB-selSBL-ordNONE-verF-dsB-eps1.0-ufTrue-bpmx1False-himpFalse-rustFalse</t>
  </si>
  <si>
    <t xml:space="preserve">BiDirLBPairs-lb_smallgf_smallblowg_f_eps_uf_bpmx1-dirSB-selSBL-ordNONE-verF-dsB-eps1.0-ufTrue-bpmx1True-himpFalse-rustFalse</t>
  </si>
  <si>
    <t xml:space="preserve">BiDirLBPairs-lb_nbb_gbfhs_f_eps-dirNBS-selGBF-ordNONE-verF-dsB-eps1.0</t>
  </si>
  <si>
    <t xml:space="preserve">BiDirLBPairs-lb_alter_gbfhs_f_eps-dirA-selGBF-ordNONE-verF-dsB-eps1.0</t>
  </si>
  <si>
    <t xml:space="preserve">BiDirLBPairs-lb_gbfhs_gbfhs_f_eps-dirGBF-selGBF-ordNONE-verF-dsB-eps1.0</t>
  </si>
  <si>
    <t xml:space="preserve">BiDirLBPairs-lb_gbfhs_gbfhs_f_eps_bpmx1-dirGBF-selGBF-ordNONE-verF-dsB-eps1.0-ufFalse-bpmx1True-himpFalse-rustFalse</t>
  </si>
  <si>
    <t xml:space="preserve">BiDirLBPairs-lb_gbfhs_gbfhs_f_eps_uf-dirGBF-selGBF-ordNONE-verF-dsB-eps1.0-ufTrue</t>
  </si>
  <si>
    <t xml:space="preserve">BiDirLBPairs-lb_gbfhs_gbfhs_f_eps_uf-dirGBF-selGBF-ordNONE-verF-dsB-eps1.0-ufTrue-bpmx1False-himpFalse-rustFalse</t>
  </si>
  <si>
    <t xml:space="preserve">BiDirLBPairs-lb_gbfhs_gbfhs_f_eps_uf_bpmx1-dirGBF-selGBF-ordNONE-verF-dsB-eps1.0-ufTrue-bpmx1True-himpFalse-rustFalse</t>
  </si>
  <si>
    <t xml:space="preserve">BiDirLBPairs-lb_gbfhs_lowg_f_eps-dirGBF-selLG-ordNONE-verF-dsB-eps1.0</t>
  </si>
  <si>
    <t xml:space="preserve">BiDirLBPairs-lb_gbfhs_lowg_f_eps_uf-dirGBF-selLG-ordNONE-verF-dsB-eps1.0-ufTrue</t>
  </si>
  <si>
    <t xml:space="preserve">BiDirLBPairs-lb_gbfhs_lowg_f_eps_uf-dirGBF-selLG-ordNONE-verF-dsB-eps1.0-ufTrue-bpmx1False-himpFalse-rustFalse</t>
  </si>
  <si>
    <t xml:space="preserve">BiDirLBPairs-lb_gbfhs_lowg_f_eps_uf_bpmx1-dirGBF-selLG-ordNONE-verF-dsB-eps1.0-ufTrue-bpmx1True-himpFalse-rustFalse</t>
  </si>
  <si>
    <t xml:space="preserve">BiDirLBPairs-lb_nbb_gbfhs_a_eps-dirNBS-selGBF-ordNONE-verA-dsB-eps1.0</t>
  </si>
  <si>
    <t xml:space="preserve">BiDirLBPairs-lb_gbfhs_gbfhs_a_eps_uf-dirGBF-selGBF-ordNONE-verA-dsB-eps1.0-ufTrue</t>
  </si>
  <si>
    <t xml:space="preserve">15 Puzzle</t>
  </si>
  <si>
    <t xml:space="preserve">BiDirLBPairs-lb_alter_first_none_bae_a-dirA-selF-ordNONE-verA-dsD-eps1.0-ufFalse-bpmx1False-himpFalse-rustFalse-stF</t>
  </si>
  <si>
    <t xml:space="preserve">BiDirLBPairs-lb_alter_first_none_bae_a_eps_ug-dirA-selF-ordNONE-verA-dsD-eps1.0-ufTrue-bpmx1False-himpFalse-rustFalse-stF</t>
  </si>
  <si>
    <t xml:space="preserve">BiDirLBPairs-lb_alter_first_none_bae_a_eps_ug_bpmx1-dirA-selF-ordNONE-verA-dsD-eps1.0-ufTrue-bpmx1True-himpFalse-rustFalse-stF</t>
  </si>
  <si>
    <t xml:space="preserve">BiDirLBPairs-lb_pohl_first_none_bae_a-dirP-selF-ordNONE-verA-dsD-eps1.0-ufFalse-bpmx1False-himpFalse-rustFalse-stF</t>
  </si>
  <si>
    <t xml:space="preserve">BiDirLBPairs-lb_pohl_first_none_bae_a_eps_ug-dirP-selF-ordNONE-verA-dsD-eps1.0-ufTrue-bpmx1False-himpFalse-rustFalse-stF</t>
  </si>
  <si>
    <t xml:space="preserve">BiDirLBPairs-lb_pohl_first_none_bae_a_eps_ug_bpmx1-dirP-selF-ordNONE-verA-dsD-eps1.0-ufTrue-bpmx1True-himpFalse-rustFalse-stF</t>
  </si>
  <si>
    <t xml:space="preserve">BiDirLBPairs-lb_minb_first_none_bae_a-dirG-selF-ordNONE-verA-dsD-eps1.0-ufFalse-bpmx1False-himpFalse-rustFalse-stF</t>
  </si>
  <si>
    <t xml:space="preserve">BiDirLBPairs-lb_minb_first_none_bae_a_eps_ug-dirG-selF-ordNONE-verA-dsD-eps1.0-ufTrue-bpmx1False-himpFalse-rustFalse-stF</t>
  </si>
  <si>
    <t xml:space="preserve">BiDirLBPairs-lb_minb_first_none_bae_a_eps_ug_bpmx1-dirG-selF-ordNONE-verA-dsD-eps1.0-ufTrue-bpmx1True-himpFalse-rustFalse-stF</t>
  </si>
  <si>
    <t xml:space="preserve">BiDirLBPairs-lb_rand_first_none_bae_a-dirR-selF-ordNONE-verA-dsD-eps1.0-ufFalse-bpmx1False-himpFalse-rustFalse-stF</t>
  </si>
  <si>
    <t xml:space="preserve">BiDirLBPairs-lb_rand_first_none_bae_a_eps_ug-dirR-selF-ordNONE-verA-dsD-eps1.0-ufTrue-bpmx1False-himpFalse-rustFalse-stF</t>
  </si>
  <si>
    <t xml:space="preserve">BiDirLBPairs-lb_rand_first_none_bae_a_eps_ug_bpmx1-dirR-selF-ordNONE-verA-dsD-eps1.0-ufTrue-bpmx1True-himpFalse-rustFalse-stF</t>
  </si>
  <si>
    <t xml:space="preserve">BiDirLBPairs-lb_nbs_f_eps-dirNBS-selF-ordNONE-verF-dsP-eps1.0-ufFalse-bpmx1False-himpFalse-rustFalse</t>
  </si>
  <si>
    <t xml:space="preserve">BiDirLBPairs-lb_nbs_a_eps-dirNBS-selF-ordNONE-verA-dsP-eps1.0-ufFalse-bpmx1False-himpFalse-rustFalse</t>
  </si>
  <si>
    <t xml:space="preserve">BiDirLBPairs-lb_gbfhs_first_f_eps-dirGBF-selF-ordNONE-verF-dsB-eps1.0-ufFalse-bpmx1False-himpFalse-rustFalse</t>
  </si>
  <si>
    <t xml:space="preserve">BiDirLBPairs-lb_pohl_first_none_f_eps-dirP-selF-ordNONE-verF-dsB-eps1.0-ufFalse-bpmx1False-himpFalse-rustFalse</t>
  </si>
  <si>
    <t xml:space="preserve">BiDirLBPairs-lb_rand_first_none_f_eps-dirR-selF-ordNONE-verF-dsB-eps1.0-ufFalse-bpmx1False-himpFalse-rustFalse</t>
  </si>
  <si>
    <t xml:space="preserve">BiDirLBPairs-lb_rand_rand_f_eps-dirR-selR-ordNONE-verF-dsB-eps1.0-ufFalse-bpmx1False-himpFalse-rustFalse</t>
  </si>
  <si>
    <t xml:space="preserve">BiDirLBPairs-lb_mwvcsmallg_lowg_none_dvcbs_f_eps-dirSM0-selLG-ordNONE-verF-dsB-eps1.0-ufFalse-bpmx1False-himpFalse-rustFalse</t>
  </si>
  <si>
    <t xml:space="preserve">BiDirLBPairs-lb_mwvcsmallg_lowg_none_dvcbs_f_eps_uf-dirSM0-selLG-ordNONE-verF-dsB-eps1.0-ufTrue-bpmx1False-himpFalse-rustFalse-stF</t>
  </si>
  <si>
    <t xml:space="preserve">BiDirLBPairs-lb_mwvcsmallg_lowg_none_dvcbs_f_eps_uf_bpmx1-dirSM0-selLG-ordNONE-verF-dsB-eps1.0-ufTrue-bpmx1True-himpFalse-rustFalse-stF</t>
  </si>
  <si>
    <t xml:space="preserve">BiDirLBPairs-lb_mwvcsmallgf_lowg_none_dvcbs_f_eps-dirSBM0-selSLG-ordNONE-verF-dsB-eps1.0-ufFalse-bpmx1False-himpFalse-rustFalse</t>
  </si>
  <si>
    <t xml:space="preserve">BiDirLBPairs-lb_mwvcsmallgf_lowg_none_dvcbs_f_eps_uf-dirSBM0-selSLG-ordNONE-verF-dsB-eps1.0-ufTrue-bpmx1False-himpFalse-rustFalse-stF</t>
  </si>
  <si>
    <t xml:space="preserve">BiDirLBPairs-lb_mwvcsmallgf_lowg_none_dvcbs_f_eps_uf_bpmx1-dirSBM0-selSLG-ordNONE-verF-dsB-eps1.0-ufTrue-bpmx1True-himpFalse-rustFalse-stF</t>
  </si>
  <si>
    <t xml:space="preserve">BiDirLBPairs-lb_mwvcsmallg_lowg_none_dvcbs_a_eps-dirSM0-selLG-ordNONE-verA-dsB-eps1.0-ufFalse-bpmx1False-himpFalse-rustFalse</t>
  </si>
  <si>
    <t xml:space="preserve">BiDirLBPairs-lb_mwvcsmallg_lowg_none_dvcbs_a_eps_uf_bpmx1-dirSM0-selLG-ordNONE-verA-dsB-eps1.0-ufTrue-bpmx1True-himpFalse-rustFalse-stF</t>
  </si>
  <si>
    <t xml:space="preserve">BiDirLBPairs-lb_mostconnectednodes_lowg_f_eps-dirLN0-selLG-ordNONE-verF-dsB-eps1.0-ufFalse-bpmx1False-himpFalse-rustFalse</t>
  </si>
  <si>
    <t xml:space="preserve">BiDirLBPairs-lb_mostconnectednodes_lowg_f_eps_uf-dirLN0-selLG-ordNONE-verF-dsB-eps1.0-ufTrue-bpmx1False-himpFalse-rustFalse-stF</t>
  </si>
  <si>
    <t xml:space="preserve">BiDirLBPairs-lb_mostconnectednodes_lowg_f_eps_uf_bpmx1-dirLN0-selLG-ordNONE-verF-dsB-eps1.0-ufTrue-bpmx1True-himpFalse-rustFalse-stF</t>
  </si>
  <si>
    <t xml:space="preserve">BiDirLBPairs-lb_smallg_lowg_none_f_eps-dirS0-selLG-ordNONE-verF-dsB-eps1.0-ufFalse-bpmx1False-himpFalse-rustFalse</t>
  </si>
  <si>
    <t xml:space="preserve">BiDirLBPairs-lb_smallg_lowg_none_f_eps_uf-dirS0-selLG-ordNONE-verF-dsB-eps1.0-ufTrue-bpmx1False-himpFalse-rustFalse-stF</t>
  </si>
  <si>
    <t xml:space="preserve">BiDirLBPairs-lb_smallg_lowg_none_f_eps_uf_bpmx1-dirS0-selLG-ordNONE-verF-dsB-eps1.0-ufTrue-bpmx1True-himpFalse-rustFalse-stF</t>
  </si>
  <si>
    <t xml:space="preserve">BiDirLBPairs-lb_smallgf_smallblowg_f_eps-dirSB-selSBL-ordNONE-verF-dsB-eps1.0-ufFalse-bpmx1False-himpFalse-rustFalse</t>
  </si>
  <si>
    <t xml:space="preserve">BiDirLBPairs-lb_smallgf_smallblowg_f_eps_uf-dirSB-selSBL-ordNONE-verF-dsB-eps1.0-ufTrue-bpmx1False-himpFalse-rustFalse-stF</t>
  </si>
  <si>
    <t xml:space="preserve">BiDirLBPairs-lb_smallgf_smallblowg_f_eps_uf_bpmx1-dirSB-selSBL-ordNONE-verF-dsB-eps1.0-ufTrue-bpmx1True-himpFalse-rustFalse-stF</t>
  </si>
  <si>
    <t xml:space="preserve">BiDirLBPairs-lb_gbfhs_gbfhs_f_eps-dirGBF-selGBF-ordNONE-verF-dsB-eps1.0-ufFalse-bpmx1False-himpFalse-rustFalse</t>
  </si>
  <si>
    <t xml:space="preserve">BiDirLBPairs-lb_gbfhs_lowg_f_eps-dirGBF-selLG-ordNONE-verF-dsB-eps1.0-ufFalse-bpmx1False-himpFalse-rustFalse</t>
  </si>
  <si>
    <t xml:space="preserve">2 test d0</t>
  </si>
  <si>
    <t xml:space="preserve">Std 100 d0 – manhattan</t>
  </si>
  <si>
    <t xml:space="preserve">Std 100 – manhattan_i</t>
  </si>
  <si>
    <t xml:space="preserve">Pancake – GAP (hog) not SymGap</t>
  </si>
  <si>
    <t xml:space="preserve">14 Pancake D0</t>
  </si>
  <si>
    <t xml:space="preserve">14 Pancake D1</t>
  </si>
  <si>
    <t xml:space="preserve">14 Pancake D2</t>
  </si>
  <si>
    <t xml:space="preserve">14 Pancake – GAP_I</t>
  </si>
  <si>
    <t xml:space="preserve">TOH 4 Peg 12 disk</t>
  </si>
  <si>
    <t xml:space="preserve">InfinitePegRelaxation</t>
  </si>
  <si>
    <t xml:space="preserve">Pdb_4_10+2</t>
  </si>
  <si>
    <t xml:space="preserve">Pdb_4_6+6</t>
  </si>
  <si>
    <t xml:space="preserve">Pdb_4_10+2_i</t>
  </si>
  <si>
    <t xml:space="preserve">Pdb_4_6+6_i</t>
  </si>
  <si>
    <t xml:space="preserve">Mazes</t>
  </si>
  <si>
    <t xml:space="preserve">d0</t>
  </si>
  <si>
    <t xml:space="preserve">DAO</t>
  </si>
  <si>
    <t xml:space="preserve">D0 – Octile</t>
  </si>
  <si>
    <t xml:space="preserve">Octile-I</t>
  </si>
  <si>
    <t xml:space="preserve">Avg Excl Mazes, Tile, Pan 1</t>
  </si>
  <si>
    <t xml:space="preserve">Avg</t>
  </si>
  <si>
    <t xml:space="preserve">Did they use difft tiebreaker for A* for domain</t>
  </si>
  <si>
    <t xml:space="preserve">Expansions &lt; C*</t>
  </si>
  <si>
    <t xml:space="preserve">BAE*</t>
  </si>
  <si>
    <t xml:space="preserve">Pancake – GAP not SymGap</t>
  </si>
  <si>
    <t xml:space="preserve">NBS_f TB FIFO</t>
  </si>
  <si>
    <t xml:space="preserve">NBS_f TB LIFO</t>
  </si>
  <si>
    <t xml:space="preserve">NBS_f TB RAND</t>
  </si>
  <si>
    <t xml:space="preserve">With Eps No TB:</t>
  </si>
  <si>
    <t xml:space="preserve">AVG TIME (secs)</t>
  </si>
  <si>
    <t xml:space="preserve">Std 100 d0</t>
  </si>
  <si>
    <t xml:space="preserve">Nodes / Sec</t>
  </si>
  <si>
    <t xml:space="preserve">Approx Max Ram</t>
  </si>
  <si>
    <t xml:space="preserve">Tim (eps)</t>
  </si>
  <si>
    <t xml:space="preserve">02-47-19</t>
  </si>
  <si>
    <t xml:space="preserve">02-47-19 + 16-27-29 + 10-25-57</t>
  </si>
  <si>
    <t xml:space="preserve">Ver F</t>
  </si>
  <si>
    <t xml:space="preserve">20-23-08 + 10-25-57</t>
  </si>
  <si>
    <t xml:space="preserve">Ver A</t>
  </si>
  <si>
    <t xml:space="preserve">NBS FIFO ver F gap_hog:</t>
  </si>
  <si>
    <t xml:space="preserve">NBS LIFO</t>
  </si>
  <si>
    <t xml:space="preserve">NBS Rand</t>
  </si>
  <si>
    <t xml:space="preserve">NBB Highest Exp G ver F Gap hog</t>
  </si>
  <si>
    <t xml:space="preserve">NBB LowG highF – other tb similar to RAND</t>
  </si>
  <si>
    <t xml:space="preserve">NBB RAND</t>
  </si>
  <si>
    <t xml:space="preserve">Rand Rand (Rand any g any f ie now RA)</t>
  </si>
  <si>
    <t xml:space="preserve">Alter F</t>
  </si>
  <si>
    <t xml:space="preserve">POHL F</t>
  </si>
  <si>
    <t xml:space="preserve">Smallest G first</t>
  </si>
  <si>
    <t xml:space="preserve">Smallest GF (tb towards highest G) </t>
  </si>
  <si>
    <t xml:space="preserve">Smallest GF (tb towards lowest G) </t>
  </si>
  <si>
    <t xml:space="preserve">UNI fwd</t>
  </si>
  <si>
    <t xml:space="preserve">Mostconnected</t>
  </si>
  <si>
    <t xml:space="preserve">DVCBS (FIFO )</t>
  </si>
  <si>
    <t xml:space="preserve">Ver A MWVC</t>
  </si>
  <si>
    <t xml:space="preserve">A* OPTEXPGOAL TB NONE – stop when u updated in expand</t>
  </si>
  <si>
    <t xml:space="preserve">A* TB NONE C&gt;=U Term no forcelowtb</t>
  </si>
  <si>
    <t xml:space="preserve">A* TB -G C&gt;=U Term no forcelowtb</t>
  </si>
  <si>
    <t xml:space="preserve">A* TB NONE NORMALGoalTerminate NOForceLowTB</t>
  </si>
  <si>
    <t xml:space="preserve">A* TB -G NORMALGoalTerminate NOForceLowTB</t>
  </si>
  <si>
    <t xml:space="preserve">BiDirLBPairs-lb_nbs_fifo_f_eps-dirNBS-selF-ordFIFO-verF-dsP-eps1.0</t>
  </si>
  <si>
    <t xml:space="preserve">BiDirLBPairs-lb_nbs_lifo_f_eps-dirNBS-selF-ordLIFO-verF-dsP-eps1.0</t>
  </si>
  <si>
    <t xml:space="preserve">BiDirLBPairs-lb_nbs_rand_f_eps-dirNBS-selF-ordR-verF-dsP-eps1.0</t>
  </si>
  <si>
    <t xml:space="preserve">BiDirLBPairs-lb_nbb_highg_rand_f_eps-dirNBS-selFHG-ordR-verF-dsB-eps1.0</t>
  </si>
  <si>
    <t xml:space="preserve">NBB Highest Exp G LIFO</t>
  </si>
  <si>
    <t xml:space="preserve">NBB Highest Exp G FIFO</t>
  </si>
  <si>
    <t xml:space="preserve">NBB Highest Exp G NONE</t>
  </si>
  <si>
    <t xml:space="preserve">BiDirLBPairs-lb_nbb_highf_rand_f_eps-dirNBS-selFHF-ordR-verF-dsB-eps1.0</t>
  </si>
  <si>
    <t xml:space="preserve">BiDirLBPairs-lb_nbb_rand_f_eps-dirNBS-selR-ordNONE-verF-dsB-eps1.0</t>
  </si>
  <si>
    <t xml:space="preserve">BiDirLBPairs-lb_rand_rand_f_eps-dirR-selR-ordNONE-verF-dsB-eps1.0</t>
  </si>
  <si>
    <t xml:space="preserve">BiDirLBPairs-lb_rand_first_none_f_eps-dirR-selF-ordNONE-verF-dsB-eps1.0</t>
  </si>
  <si>
    <t xml:space="preserve">BiDirLBPairs-lb_alter_first_none_f_eps-dirA-selF-ordNONE-verF-dsB-eps1.0</t>
  </si>
  <si>
    <t xml:space="preserve">BiDirLBPairs-lb_pohl_first_none_f_eps-dirP-selF-ordNONE-verF-dsB-eps1.0</t>
  </si>
  <si>
    <t xml:space="preserve">BiDirLBPairs-lb_smallg_first_none_f_eps-dirS-selF-ordNONE-verF-dsB-eps1.0</t>
  </si>
  <si>
    <t xml:space="preserve">BiDirLBPairs-lb_smallgf_smallbhighg_f_eps-dirSB-selSB-ordNONE-verF-dsB-eps1.0 (Tb toward highest g)</t>
  </si>
  <si>
    <t xml:space="preserve">BiDirLBPairs-lb_fwd_first_none_f_eps-dirF-selF-ordNONE-verF-dsB-eps1.0</t>
  </si>
  <si>
    <t xml:space="preserve">BiDirLBPairs-lb_mostconnectednodes_connln_f_eps-dirLN-selLN-ordNONE-verF-dsB-eps1.0</t>
  </si>
  <si>
    <t xml:space="preserve">BiDirLBPairs-lb_mostconnectednodes_lowg_f_eps-dirLN0-selLG-ordNONE-verF-dsB-eps1.0</t>
  </si>
  <si>
    <t xml:space="preserve">BiDirLBPairs-lb_mwvcmostconnectednodes_lowg_f_eps-dirLM0-selLG-ordNONE-verF-dsB-eps1.0</t>
  </si>
  <si>
    <t xml:space="preserve">BiDirLBPairs-lb_mwvcmostconnectednodes_mwvcconnln_f_eps-dirLM-selLM-ordNONE-verF-dsB-eps1.0</t>
  </si>
  <si>
    <t xml:space="preserve">BiDirLBPairs-lb_mwvcsmallg_mwvcsmallg_none_f_eps-dirSM-selSM-ordNONE-verF-dsB-eps1.0</t>
  </si>
  <si>
    <t xml:space="preserve">BiDirLBPairs-lb_smallg_smallg_none_f_eps-dirS-selSG-ordNONE-verF-dsB-eps1.0</t>
  </si>
  <si>
    <t xml:space="preserve">BiDirLBPairs-lb_mostconnectednodes_connln_a_eps-dirLN-selLN-ordNONE-verA-dsB-eps1.0</t>
  </si>
  <si>
    <t xml:space="preserve">BiDirLBPairs-lb_mwvcmostconnectednodes_mwvcconnln_a_eps-dirLM-selLM-ordNONE-verA-dsB-eps1.0</t>
  </si>
  <si>
    <t xml:space="preserve">BiDirLBPairs-lb_mwvcsmallg_mwvcsmallg_none_a_eps-dirSM-selSM-ordNONE-verA-dsB-eps1.0</t>
  </si>
  <si>
    <t xml:space="preserve">Summary</t>
  </si>
  <si>
    <t xml:space="preserve">A* seems too high</t>
  </si>
  <si>
    <t xml:space="preserve">Mazes: How are others choosing? I’m slightly higher</t>
  </si>
  <si>
    <t xml:space="preserve">50 Std 14-Pancake</t>
  </si>
  <si>
    <t xml:space="preserve">DVCBS (NONE)</t>
  </si>
  <si>
    <t xml:space="preserve">DVCBS (RANDOM)</t>
  </si>
  <si>
    <t xml:space="preserve">NO Min WVC</t>
  </si>
  <si>
    <t xml:space="preserve">Most connected, with/without M WVC</t>
  </si>
  <si>
    <t xml:space="preserve">D0</t>
  </si>
  <si>
    <t xml:space="preserve">D2</t>
  </si>
  <si>
    <t xml:space="preserve">Siag Fork of Alcazar Fork: Code in question is in BiHS-Consistent-F2E/conference/apps/bidirectional/</t>
  </si>
  <si>
    <t xml:space="preserve">NBS HOG2 Implementation Trace of key elements</t>
  </si>
  <si>
    <t xml:space="preserve">DVCBS HOG2 Implementation Trace of key elements</t>
  </si>
  <si>
    <t xml:space="preserve">nbs.h: getpath()</t>
  </si>
  <si>
    <t xml:space="preserve">dvcbs.h: getpath()</t>
  </si>
  <si>
    <t xml:space="preserve">init search()</t>
  </si>
  <si>
    <t xml:space="preserve">While not Expandapath():</t>
  </si>
  <si>
    <t xml:space="preserve">While not ExpandAVertexCover():</t>
  </si>
  <si>
    <t xml:space="preserve">result = nbsqueue.h:getnextpair():</t>
  </si>
  <si>
    <t xml:space="preserve">result = dvcbsqueue.h:getVertexCover():</t>
  </si>
  <si>
    <t xml:space="preserve">While WaitD.f &lt; CLB: MoveToReadyD</t>
  </si>
  <si>
    <t xml:space="preserve"># VER A &lt;=</t>
  </si>
  <si>
    <t xml:space="preserve">While True:</t>
  </si>
  <si>
    <t xml:space="preserve">if ReadyF.g + ReadyB.g + eps &lt;= CLB:</t>
  </si>
  <si>
    <t xml:space="preserve">RETURN TRUE </t>
  </si>
  <si>
    <t xml:space="preserve">CALC MWVC and RETURN TRUE </t>
  </si>
  <si>
    <t xml:space="preserve"># Doesnt actually expand nodes here contrary to pseudocode, just figures out which nodes are in any MWVC and performs explicit tiebreaking to select the subset to expand (smallest set in lowest g in MWVC). Sets pointers the the selected nodes</t>
  </si>
  <si>
    <t xml:space="preserve">Chg = False</t>
  </si>
  <si>
    <t xml:space="preserve">If WaitD.f &lt;= CLB:</t>
  </si>
  <si>
    <t xml:space="preserve">MoveOneToReadyD</t>
  </si>
  <si>
    <t xml:space="preserve">Chg = True</t>
  </si>
  <si>
    <t xml:space="preserve">If not Chg:</t>
  </si>
  <si>
    <t xml:space="preserve">CLB = min(WaitF.f, WaitB.f, ReadyF.g + ReadyB.g + eps)</t>
  </si>
  <si>
    <t xml:space="preserve">RETURN FALSE</t>
  </si>
  <si>
    <t xml:space="preserve">if not result:</t>
  </si>
  <si>
    <t xml:space="preserve">If U = inf: RETURN TRUE</t>
  </si>
  <si>
    <t xml:space="preserve">Extract Path</t>
  </si>
  <si>
    <t xml:space="preserve">RETURN TRUE</t>
  </si>
  <si>
    <t xml:space="preserve">elif VER F and ReadyF.state = ReadyB.state: </t>
  </si>
  <si>
    <t xml:space="preserve"># NOT in our code</t>
  </si>
  <si>
    <t xml:space="preserve">elif (VER F and CLB &gt;= U ) OR (VER A &gt; U):</t>
  </si>
  <si>
    <t xml:space="preserve"># in our main loop we are stopping at first solution even if VER = A so our stoping cirteria is CLB &gt;= U in both cases</t>
  </si>
  <si>
    <t xml:space="preserve">elif expanding in both directions and ANY about to be expanded forward state = ANY about to be expanded backward state: </t>
  </si>
  <si>
    <t xml:space="preserve"># NOT in our code – but COULD be a good optimization if expanding lots of nodes in BOTH directions: BUT I think it only affects the expansion count slightly since in our implementation FWD nodes are expanded then added to g_score fwd dict (and generated) and then BWD checks gscore fwd dict, updates U and then new CLB &gt;= U check in expand loop will cause algo to terminate before any further expansions occur – so diff is the expansions in this round but really the Siag check is a hack that reduces the expansion count by doing the check in a new loop before expanding anything!</t>
  </si>
  <si>
    <t xml:space="preserve">counts[CLB] += 2</t>
  </si>
  <si>
    <t xml:space="preserve">Various loops around ExpandForward/Backward:</t>
  </si>
  <si>
    <t xml:space="preserve">ExpandForward():</t>
  </si>
  <si>
    <t xml:space="preserve">ExpandForward (or Backward)</t>
  </si>
  <si>
    <t xml:space="preserve"># Expand seems essentially similar to NBS Expand</t>
  </si>
  <si>
    <t xml:space="preserve">current = ReadyF.pop() &amp; put current in ClosedList</t>
  </si>
  <si>
    <t xml:space="preserve">if CLB &gt;= U:</t>
  </si>
  <si>
    <t xml:space="preserve">if current.g + current.h &gt;= U: RETURN</t>
  </si>
  <si>
    <t xml:space="preserve">Foreach neighbour of Current:</t>
  </si>
  <si>
    <t xml:space="preserve">Return FALSE</t>
  </si>
  <si>
    <t xml:space="preserve">tent_g_cost = cost(current, neighbour) + current.g</t>
  </si>
  <si>
    <t xml:space="preserve">if tent_g_cost &gt;= U: CONTINUE</t>
  </si>
  <si>
    <t xml:space="preserve">if neighbour in ClosedList: CONTINUE</t>
  </si>
  <si>
    <t xml:space="preserve">elif neighbour in WAIT U READY:</t>
  </si>
  <si>
    <t xml:space="preserve">if tent_g_cost &lt; neighbour.g:</t>
  </si>
  <si>
    <t xml:space="preserve">update neighbour.g and path</t>
  </si>
  <si>
    <t xml:space="preserve">if neighbour in Backward WAIT U READY:</t>
  </si>
  <si>
    <t xml:space="preserve">if tent_g_cost + opposite.g &lt; U:</t>
  </si>
  <si>
    <t xml:space="preserve">U = tent_g_cost + opposite.g</t>
  </si>
  <si>
    <t xml:space="preserve">elif neighbour is new:</t>
  </si>
  <si>
    <t xml:space="preserve">add neighbour to WAIT or READY if neighbour.f &lt; CLB</t>
  </si>
  <si>
    <t xml:space="preserve"># We always add to Wait. Won’t make a difference for NBS since next loop iteration will move to Ready anyway but might make a difference for DVCBS IF the DVCBS expansion routine in this main loop iteration picks up nodes that were added in this iteration</t>
  </si>
  <si>
    <t xml:space="preserve">ExpandBackward():</t>
  </si>
  <si>
    <t xml:space="preserve">As per ExpandForward</t>
  </si>
</sst>
</file>

<file path=xl/styles.xml><?xml version="1.0" encoding="utf-8"?>
<styleSheet xmlns="http://schemas.openxmlformats.org/spreadsheetml/2006/main">
  <numFmts count="3">
    <numFmt numFmtId="164" formatCode="General"/>
    <numFmt numFmtId="165" formatCode="#,##0.00"/>
    <numFmt numFmtId="166" formatCode="#,###.00"/>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A933"/>
      <name val="Arial"/>
      <family val="2"/>
      <charset val="1"/>
    </font>
    <font>
      <i val="true"/>
      <sz val="10"/>
      <name val="Arial"/>
      <family val="2"/>
      <charset val="1"/>
    </font>
  </fonts>
  <fills count="2">
    <fill>
      <patternFill patternType="none"/>
    </fill>
    <fill>
      <patternFill patternType="gray125"/>
    </fill>
  </fills>
  <borders count="17">
    <border diagonalUp="false" diagonalDown="false">
      <left/>
      <right/>
      <top/>
      <bottom/>
      <diagonal/>
    </border>
    <border diagonalUp="false" diagonalDown="false">
      <left style="medium"/>
      <right style="thin"/>
      <top/>
      <bottom/>
      <diagonal/>
    </border>
    <border diagonalUp="false" diagonalDown="false">
      <left style="medium"/>
      <right style="thin"/>
      <top style="thin"/>
      <bottom/>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style="thin"/>
      <right/>
      <top/>
      <bottom style="thin"/>
      <diagonal/>
    </border>
    <border diagonalUp="false" diagonalDown="false">
      <left/>
      <right/>
      <top style="thin"/>
      <bottom/>
      <diagonal/>
    </border>
    <border diagonalUp="false" diagonalDown="false">
      <left/>
      <right/>
      <top/>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right style="thin"/>
      <top/>
      <bottom/>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style="thin"/>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0" fillId="0" borderId="1" xfId="20" applyFont="true" applyBorder="tru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0" borderId="2" xfId="20" applyFont="true" applyBorder="true" applyAlignment="true" applyProtection="true">
      <alignment horizontal="left" vertical="bottom" textRotation="0" wrapText="false" indent="0" shrinkToFit="false"/>
      <protection locked="true" hidden="false"/>
    </xf>
    <xf numFmtId="165" fontId="0" fillId="0" borderId="3" xfId="20" applyFont="true" applyBorder="true" applyAlignment="true" applyProtection="true">
      <alignment horizontal="left" vertical="bottom" textRotation="0" wrapText="false" indent="0" shrinkToFit="false"/>
      <protection locked="true" hidden="false"/>
    </xf>
    <xf numFmtId="164" fontId="0" fillId="0" borderId="2" xfId="20" applyFont="true" applyBorder="true" applyAlignment="true" applyProtection="true">
      <alignment horizontal="left" vertical="bottom" textRotation="0" wrapText="false" indent="0" shrinkToFit="false"/>
      <protection locked="true" hidden="false"/>
    </xf>
    <xf numFmtId="164" fontId="0" fillId="0" borderId="0" xfId="20" applyFont="true" applyBorder="true" applyAlignment="true" applyProtection="true">
      <alignment horizontal="left" vertical="bottom" textRotation="0" wrapText="false" indent="0" shrinkToFit="false"/>
      <protection locked="true" hidden="false"/>
    </xf>
    <xf numFmtId="165" fontId="0" fillId="0" borderId="0" xfId="20" applyFont="true" applyBorder="true" applyAlignment="true" applyProtection="true">
      <alignment horizontal="left" vertical="bottom" textRotation="0" wrapText="false" indent="0" shrinkToFit="false"/>
      <protection locked="true" hidden="false"/>
    </xf>
    <xf numFmtId="165" fontId="0" fillId="0" borderId="1" xfId="20" applyFont="false" applyBorder="true" applyAlignment="false" applyProtection="false">
      <alignment horizontal="left" vertical="bottom" textRotation="0" wrapText="false" indent="0" shrinkToFit="false"/>
      <protection locked="true" hidden="false"/>
    </xf>
    <xf numFmtId="165" fontId="0" fillId="0" borderId="2" xfId="20" applyFont="false" applyBorder="true" applyAlignment="false" applyProtection="false">
      <alignment horizontal="left" vertical="bottom" textRotation="0" wrapText="false" indent="0" shrinkToFit="false"/>
      <protection locked="true" hidden="false"/>
    </xf>
    <xf numFmtId="165" fontId="0" fillId="0" borderId="1" xfId="20" applyFont="false" applyBorder="true" applyAlignment="true" applyProtection="true">
      <alignment horizontal="left" vertical="bottom" textRotation="0" wrapText="false" indent="0" shrinkToFit="false"/>
      <protection locked="true" hidden="false"/>
    </xf>
    <xf numFmtId="166" fontId="0" fillId="0" borderId="1" xfId="20" applyFont="true" applyBorder="true" applyAlignment="true" applyProtection="true">
      <alignment horizontal="left" vertical="bottom" textRotation="0" wrapText="false" indent="0" shrinkToFit="false"/>
      <protection locked="true" hidden="false"/>
    </xf>
    <xf numFmtId="165" fontId="0" fillId="0" borderId="2" xfId="20" applyFont="false" applyBorder="true" applyAlignment="true" applyProtection="true">
      <alignment horizontal="left" vertical="bottom" textRotation="0" wrapText="false" indent="0" shrinkToFit="false"/>
      <protection locked="true" hidden="false"/>
    </xf>
    <xf numFmtId="166" fontId="0" fillId="0" borderId="2" xfId="20" applyFont="true" applyBorder="true" applyAlignment="true" applyProtection="true">
      <alignment horizontal="left" vertical="bottom" textRotation="0" wrapText="false" indent="0" shrinkToFit="false"/>
      <protection locked="true" hidden="false"/>
    </xf>
    <xf numFmtId="165" fontId="0" fillId="0" borderId="4" xfId="21" applyFont="false" applyBorder="true" applyAlignment="true" applyProtection="true">
      <alignment horizontal="general" vertical="bottom" textRotation="0" wrapText="false" indent="0" shrinkToFit="false"/>
      <protection locked="true" hidden="false"/>
    </xf>
    <xf numFmtId="165" fontId="0" fillId="0" borderId="5" xfId="21" applyFont="false" applyBorder="true" applyAlignment="true" applyProtection="true">
      <alignment horizontal="general" vertical="bottom" textRotation="0" wrapText="false" indent="0" shrinkToFit="false"/>
      <protection locked="true" hidden="false"/>
    </xf>
    <xf numFmtId="165" fontId="0" fillId="0" borderId="0" xfId="21" applyFont="false" applyBorder="true" applyAlignment="true" applyProtection="true">
      <alignment horizontal="general" vertical="bottom" textRotation="0" wrapText="false" indent="0" shrinkToFit="false"/>
      <protection locked="true" hidden="false"/>
    </xf>
    <xf numFmtId="165" fontId="0" fillId="0" borderId="6" xfId="21" applyFont="false" applyBorder="true" applyAlignment="true" applyProtection="true">
      <alignment horizontal="general" vertical="bottom" textRotation="0" wrapText="false" indent="0" shrinkToFit="false"/>
      <protection locked="true" hidden="false"/>
    </xf>
    <xf numFmtId="165" fontId="0" fillId="0" borderId="7" xfId="21" applyFont="false" applyBorder="true" applyAlignment="true" applyProtection="true">
      <alignment horizontal="general" vertical="bottom" textRotation="0" wrapText="false" indent="0" shrinkToFit="false"/>
      <protection locked="true" hidden="false"/>
    </xf>
    <xf numFmtId="165" fontId="0" fillId="0" borderId="8" xfId="21" applyFont="false" applyBorder="true" applyAlignment="true" applyProtection="true">
      <alignment horizontal="general" vertical="bottom" textRotation="0" wrapText="false" indent="0" shrinkToFit="false"/>
      <protection locked="true" hidden="false"/>
    </xf>
    <xf numFmtId="165" fontId="0" fillId="0" borderId="9" xfId="21" applyFont="false" applyBorder="true" applyAlignment="true" applyProtection="true">
      <alignment horizontal="general" vertical="bottom" textRotation="0" wrapText="false" indent="0" shrinkToFit="false"/>
      <protection locked="true" hidden="false"/>
    </xf>
    <xf numFmtId="165" fontId="0" fillId="0" borderId="10" xfId="21" applyFont="false" applyBorder="true" applyAlignment="true" applyProtection="true">
      <alignment horizontal="general" vertical="bottom" textRotation="0" wrapText="false" indent="0" shrinkToFit="false"/>
      <protection locked="true" hidden="false"/>
    </xf>
    <xf numFmtId="165" fontId="0" fillId="0" borderId="0" xfId="21" applyFont="false" applyBorder="false" applyAlignment="false" applyProtection="false">
      <alignment horizontal="general" vertical="bottom" textRotation="0" wrapText="false" indent="0" shrinkToFit="false"/>
      <protection locked="true" hidden="false"/>
    </xf>
    <xf numFmtId="165" fontId="0" fillId="0" borderId="9" xfId="21" applyFont="false" applyBorder="true" applyAlignment="false" applyProtection="false">
      <alignment horizontal="general" vertical="bottom" textRotation="0" wrapText="false" indent="0" shrinkToFit="false"/>
      <protection locked="true" hidden="false"/>
    </xf>
    <xf numFmtId="166" fontId="0" fillId="0" borderId="10" xfId="21" applyFont="false" applyBorder="true" applyAlignment="true" applyProtection="true">
      <alignment horizontal="general" vertical="bottom" textRotation="0" wrapText="false" indent="0" shrinkToFit="false"/>
      <protection locked="true" hidden="false"/>
    </xf>
    <xf numFmtId="166" fontId="0" fillId="0" borderId="9" xfId="21" applyFont="false" applyBorder="true" applyAlignment="true" applyProtection="true">
      <alignment horizontal="general" vertical="bottom" textRotation="0" wrapText="false" indent="0" shrinkToFit="false"/>
      <protection locked="true" hidden="false"/>
    </xf>
    <xf numFmtId="165" fontId="0" fillId="0" borderId="10" xfId="21" applyFont="false" applyBorder="true" applyAlignment="false" applyProtection="false">
      <alignment horizontal="general" vertical="bottom" textRotation="0" wrapText="false" indent="0" shrinkToFit="false"/>
      <protection locked="true" hidden="false"/>
    </xf>
    <xf numFmtId="166" fontId="0" fillId="0" borderId="0" xfId="21" applyFont="false" applyBorder="true" applyAlignment="true" applyProtection="true">
      <alignment horizontal="general" vertical="bottom" textRotation="0" wrapText="false" indent="0" shrinkToFit="false"/>
      <protection locked="true" hidden="false"/>
    </xf>
    <xf numFmtId="164" fontId="0" fillId="0" borderId="6" xfId="21" applyFont="false" applyBorder="true" applyAlignment="true" applyProtection="true">
      <alignment horizontal="general" vertical="bottom" textRotation="0" wrapText="false" indent="0" shrinkToFit="false"/>
      <protection locked="true" hidden="false"/>
    </xf>
    <xf numFmtId="164" fontId="0" fillId="0" borderId="8" xfId="21" applyFont="false" applyBorder="true" applyAlignment="true" applyProtection="true">
      <alignment horizontal="general" vertical="bottom" textRotation="0" wrapText="false" indent="0" shrinkToFit="false"/>
      <protection locked="true" hidden="false"/>
    </xf>
    <xf numFmtId="165" fontId="0" fillId="0" borderId="11" xfId="21" applyFont="false" applyBorder="true" applyAlignment="true" applyProtection="true">
      <alignment horizontal="general" vertical="bottom" textRotation="0" wrapText="false" indent="0" shrinkToFit="false"/>
      <protection locked="true" hidden="false"/>
    </xf>
    <xf numFmtId="165" fontId="0" fillId="0" borderId="12" xfId="21" applyFont="false" applyBorder="true" applyAlignment="true" applyProtection="true">
      <alignment horizontal="general" vertical="bottom" textRotation="0" wrapText="false" indent="0" shrinkToFit="false"/>
      <protection locked="true" hidden="false"/>
    </xf>
    <xf numFmtId="165" fontId="0" fillId="0" borderId="13" xfId="21" applyFont="false" applyBorder="true" applyAlignment="true" applyProtection="true">
      <alignment horizontal="general" vertical="bottom" textRotation="0" wrapText="false" indent="0" shrinkToFit="false"/>
      <protection locked="true" hidden="false"/>
    </xf>
    <xf numFmtId="165" fontId="0" fillId="0" borderId="14" xfId="21" applyFont="false" applyBorder="true" applyAlignment="true" applyProtection="true">
      <alignment horizontal="general" vertical="bottom" textRotation="0" wrapText="false" indent="0" shrinkToFit="false"/>
      <protection locked="true" hidden="false"/>
    </xf>
    <xf numFmtId="164" fontId="0" fillId="0" borderId="12" xfId="21" applyFont="false" applyBorder="true" applyAlignment="true" applyProtection="true">
      <alignment horizontal="general" vertical="bottom" textRotation="0" wrapText="false" indent="0" shrinkToFit="false"/>
      <protection locked="true" hidden="false"/>
    </xf>
    <xf numFmtId="164" fontId="0" fillId="0" borderId="9" xfId="21" applyFont="false" applyBorder="true" applyAlignment="true" applyProtection="true">
      <alignment horizontal="general" vertical="bottom" textRotation="0" wrapText="false" indent="0" shrinkToFit="false"/>
      <protection locked="true" hidden="false"/>
    </xf>
    <xf numFmtId="164" fontId="0" fillId="0" borderId="0" xfId="21" applyFont="false" applyBorder="true" applyAlignment="true" applyProtection="true">
      <alignment horizontal="general" vertical="bottom" textRotation="0" wrapText="false" indent="0" shrinkToFit="false"/>
      <protection locked="true" hidden="false"/>
    </xf>
    <xf numFmtId="164" fontId="0" fillId="0" borderId="10" xfId="21" applyFont="false" applyBorder="true" applyAlignment="true" applyProtection="true">
      <alignment horizontal="general" vertical="bottom" textRotation="0" wrapText="false" indent="0" shrinkToFit="false"/>
      <protection locked="true" hidden="false"/>
    </xf>
    <xf numFmtId="165" fontId="0" fillId="0" borderId="15" xfId="21" applyFont="false" applyBorder="true" applyAlignment="true" applyProtection="true">
      <alignment horizontal="general" vertical="bottom" textRotation="0" wrapText="false" indent="0" shrinkToFit="false"/>
      <protection locked="true" hidden="false"/>
    </xf>
    <xf numFmtId="165" fontId="4" fillId="0" borderId="15" xfId="21" applyFont="true" applyBorder="true" applyAlignment="true" applyProtection="true">
      <alignment horizontal="general" vertical="bottom" textRotation="0" wrapText="false" indent="0" shrinkToFit="false"/>
      <protection locked="true" hidden="false"/>
    </xf>
    <xf numFmtId="165" fontId="0" fillId="0" borderId="16" xfId="21" applyFont="false" applyBorder="true" applyAlignment="true" applyProtection="true">
      <alignment horizontal="general" vertical="bottom" textRotation="0" wrapText="false" indent="0" shrinkToFit="false"/>
      <protection locked="true" hidden="false"/>
    </xf>
    <xf numFmtId="165" fontId="4" fillId="0" borderId="16" xfId="21" applyFont="true" applyBorder="true" applyAlignment="true" applyProtection="true">
      <alignment horizontal="general" vertical="bottom" textRotation="0" wrapText="false" indent="0" shrinkToFit="false"/>
      <protection locked="true" hidden="false"/>
    </xf>
    <xf numFmtId="165" fontId="0" fillId="0" borderId="15" xfId="21" applyFont="true" applyBorder="true" applyAlignment="true" applyProtection="true">
      <alignment horizontal="general" vertical="bottom" textRotation="0" wrapText="false" indent="0" shrinkToFit="false"/>
      <protection locked="true" hidden="false"/>
    </xf>
    <xf numFmtId="164" fontId="0" fillId="0" borderId="4" xfId="21" applyFont="false" applyBorder="true" applyAlignment="true" applyProtection="true">
      <alignment horizontal="general" vertical="bottom" textRotation="0" wrapText="false" indent="0" shrinkToFit="false"/>
      <protection locked="true" hidden="false"/>
    </xf>
    <xf numFmtId="164" fontId="4" fillId="0" borderId="4" xfId="21" applyFont="true" applyBorder="true" applyAlignment="true" applyProtection="true">
      <alignment horizontal="general" vertical="bottom" textRotation="0" wrapText="false" indent="0" shrinkToFit="false"/>
      <protection locked="true" hidden="false"/>
    </xf>
    <xf numFmtId="164" fontId="0" fillId="0" borderId="16" xfId="21" applyFont="false" applyBorder="true" applyAlignment="true" applyProtection="true">
      <alignment horizontal="general" vertical="bottom" textRotation="0" wrapText="false" indent="0" shrinkToFit="false"/>
      <protection locked="true" hidden="false"/>
    </xf>
    <xf numFmtId="164" fontId="4" fillId="0" borderId="16" xfId="21" applyFont="true" applyBorder="true" applyAlignment="true" applyProtection="true">
      <alignment horizontal="general" vertical="bottom" textRotation="0" wrapText="false" indent="0" shrinkToFit="false"/>
      <protection locked="true" hidden="false"/>
    </xf>
    <xf numFmtId="165" fontId="6" fillId="0" borderId="4" xfId="21" applyFont="true" applyBorder="true" applyAlignment="true" applyProtection="true">
      <alignment horizontal="general" vertical="bottom" textRotation="0" wrapText="false" indent="0" shrinkToFit="false"/>
      <protection locked="true" hidden="false"/>
    </xf>
    <xf numFmtId="165" fontId="6" fillId="0" borderId="5" xfId="21"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Value"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U9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3" topLeftCell="CY4" activePane="bottomRight" state="frozen"/>
      <selection pane="topLeft" activeCell="A1" activeCellId="0" sqref="A1"/>
      <selection pane="topRight" activeCell="CY1" activeCellId="0" sqref="CY1"/>
      <selection pane="bottomLeft" activeCell="A4" activeCellId="0" sqref="A4"/>
      <selection pane="bottomRight" activeCell="DI16" activeCellId="0" sqref="DI16"/>
    </sheetView>
  </sheetViews>
  <sheetFormatPr defaultColWidth="11.53515625" defaultRowHeight="12.8" zeroHeight="false" outlineLevelRow="0" outlineLevelCol="0"/>
  <cols>
    <col collapsed="false" customWidth="true" hidden="false" outlineLevel="0" max="1" min="1" style="1" width="36.01"/>
    <col collapsed="false" customWidth="true" hidden="false" outlineLevel="0" max="2" min="2" style="1" width="13.39"/>
    <col collapsed="false" customWidth="true" hidden="false" outlineLevel="0" max="3" min="3" style="1" width="13.91"/>
    <col collapsed="false" customWidth="true" hidden="false" outlineLevel="0" max="4" min="4" style="1" width="13.22"/>
    <col collapsed="false" customWidth="true" hidden="false" outlineLevel="0" max="5" min="5" style="1" width="13.56"/>
    <col collapsed="false" customWidth="true" hidden="false" outlineLevel="0" max="6" min="6" style="1" width="25.56"/>
    <col collapsed="false" customWidth="true" hidden="false" outlineLevel="0" max="7" min="7" style="1" width="13.73"/>
    <col collapsed="false" customWidth="true" hidden="false" outlineLevel="0" max="8" min="8" style="1" width="28.34"/>
    <col collapsed="false" customWidth="true" hidden="false" outlineLevel="0" max="9" min="9" style="1" width="27.65"/>
    <col collapsed="false" customWidth="true" hidden="false" outlineLevel="0" max="10" min="10" style="1" width="13.91"/>
    <col collapsed="false" customWidth="true" hidden="false" outlineLevel="0" max="11" min="11" style="1" width="13.03"/>
    <col collapsed="false" customWidth="true" hidden="false" outlineLevel="0" max="12" min="12" style="1" width="12.88"/>
    <col collapsed="false" customWidth="true" hidden="false" outlineLevel="0" max="13" min="13" style="1" width="13.39"/>
    <col collapsed="false" customWidth="true" hidden="false" outlineLevel="0" max="15" min="14" style="1" width="12.88"/>
    <col collapsed="false" customWidth="true" hidden="false" outlineLevel="0" max="17" min="16" style="1" width="13.22"/>
    <col collapsed="false" customWidth="true" hidden="false" outlineLevel="0" max="20" min="18" style="1" width="12.88"/>
    <col collapsed="false" customWidth="true" hidden="false" outlineLevel="0" max="43" min="21" style="1" width="12.69"/>
    <col collapsed="false" customWidth="true" hidden="false" outlineLevel="0" max="44" min="44" style="1" width="14.43"/>
    <col collapsed="false" customWidth="true" hidden="false" outlineLevel="0" max="45" min="45" style="1" width="14.6"/>
    <col collapsed="false" customWidth="true" hidden="false" outlineLevel="0" max="46" min="46" style="1" width="13.56"/>
    <col collapsed="false" customWidth="true" hidden="false" outlineLevel="0" max="47" min="47" style="1" width="13.03"/>
    <col collapsed="false" customWidth="false" hidden="false" outlineLevel="0" max="48" min="48" style="1" width="11.53"/>
    <col collapsed="false" customWidth="true" hidden="false" outlineLevel="0" max="50" min="49" style="1" width="12.27"/>
    <col collapsed="false" customWidth="false" hidden="false" outlineLevel="0" max="52" min="51" style="1" width="11.53"/>
    <col collapsed="false" customWidth="true" hidden="false" outlineLevel="0" max="53" min="53" style="1" width="13.58"/>
    <col collapsed="false" customWidth="false" hidden="false" outlineLevel="0" max="55" min="54" style="1" width="11.53"/>
    <col collapsed="false" customWidth="true" hidden="false" outlineLevel="0" max="56" min="56" style="1" width="13.09"/>
    <col collapsed="false" customWidth="true" hidden="false" outlineLevel="0" max="58" min="57" style="1" width="13.25"/>
    <col collapsed="false" customWidth="true" hidden="false" outlineLevel="0" max="60" min="59" style="1" width="13.58"/>
    <col collapsed="false" customWidth="true" hidden="false" outlineLevel="0" max="62" min="61" style="1" width="12.61"/>
    <col collapsed="false" customWidth="false" hidden="false" outlineLevel="0" max="63" min="63" style="1" width="11.53"/>
    <col collapsed="false" customWidth="true" hidden="false" outlineLevel="0" max="64" min="64" style="1" width="13.72"/>
    <col collapsed="false" customWidth="false" hidden="false" outlineLevel="0" max="71" min="65" style="1" width="11.53"/>
    <col collapsed="false" customWidth="true" hidden="false" outlineLevel="0" max="74" min="72" style="1" width="12.93"/>
    <col collapsed="false" customWidth="true" hidden="false" outlineLevel="0" max="77" min="75" style="1" width="13.41"/>
    <col collapsed="false" customWidth="true" hidden="false" outlineLevel="0" max="79" min="78" style="1" width="12.76"/>
    <col collapsed="false" customWidth="true" hidden="false" outlineLevel="0" max="81" min="80" style="1" width="14.23"/>
    <col collapsed="false" customWidth="false" hidden="false" outlineLevel="0" max="89" min="82" style="1" width="11.53"/>
    <col collapsed="false" customWidth="true" hidden="false" outlineLevel="0" max="90" min="90" style="1" width="13.09"/>
    <col collapsed="false" customWidth="true" hidden="false" outlineLevel="0" max="92" min="91" style="1" width="12.61"/>
    <col collapsed="false" customWidth="true" hidden="false" outlineLevel="0" max="93" min="93" style="1" width="13.09"/>
    <col collapsed="false" customWidth="true" hidden="false" outlineLevel="0" max="94" min="94" style="1" width="13.75"/>
    <col collapsed="false" customWidth="false" hidden="false" outlineLevel="0" max="96" min="95" style="1" width="11.53"/>
    <col collapsed="false" customWidth="true" hidden="false" outlineLevel="0" max="97" min="97" style="1" width="13.25"/>
    <col collapsed="false" customWidth="true" hidden="false" outlineLevel="0" max="99" min="98" style="1" width="12.43"/>
    <col collapsed="false" customWidth="true" hidden="false" outlineLevel="0" max="101" min="100" style="1" width="13.58"/>
    <col collapsed="false" customWidth="false" hidden="false" outlineLevel="0" max="105" min="102" style="1" width="11.53"/>
    <col collapsed="false" customWidth="true" hidden="false" outlineLevel="0" max="106" min="106" style="1" width="13.41"/>
    <col collapsed="false" customWidth="true" hidden="false" outlineLevel="0" max="108" min="107" style="1" width="13.75"/>
    <col collapsed="false" customWidth="true" hidden="false" outlineLevel="0" max="109" min="109" style="2" width="13.25"/>
    <col collapsed="false" customWidth="true" hidden="false" outlineLevel="0" max="111" min="110" style="1" width="13.25"/>
    <col collapsed="false" customWidth="false" hidden="false" outlineLevel="0" max="112" min="112" style="1" width="11.53"/>
    <col collapsed="false" customWidth="true" hidden="false" outlineLevel="0" max="113" min="113" style="1" width="12.61"/>
    <col collapsed="false" customWidth="true" hidden="false" outlineLevel="0" max="115" min="114" style="1" width="12.93"/>
    <col collapsed="false" customWidth="true" hidden="false" outlineLevel="0" max="117" min="116" style="1" width="13.41"/>
    <col collapsed="false" customWidth="false" hidden="false" outlineLevel="0" max="120" min="118" style="1" width="11.53"/>
    <col collapsed="false" customWidth="true" hidden="false" outlineLevel="0" max="121" min="121" style="1" width="13.41"/>
    <col collapsed="false" customWidth="true" hidden="false" outlineLevel="0" max="123" min="122" style="1" width="13.09"/>
    <col collapsed="false" customWidth="true" hidden="false" outlineLevel="0" max="126" min="124" style="1" width="12.93"/>
    <col collapsed="false" customWidth="true" hidden="false" outlineLevel="0" max="127" min="127" style="1" width="12.61"/>
    <col collapsed="false" customWidth="true" hidden="false" outlineLevel="0" max="129" min="128" style="1" width="12.76"/>
    <col collapsed="false" customWidth="false" hidden="false" outlineLevel="0" max="135" min="130" style="1" width="11.53"/>
    <col collapsed="false" customWidth="true" hidden="false" outlineLevel="0" max="136" min="136" style="1" width="13.91"/>
    <col collapsed="false" customWidth="true" hidden="false" outlineLevel="0" max="137" min="137" style="1" width="13.73"/>
    <col collapsed="false" customWidth="true" hidden="false" outlineLevel="0" max="138" min="138" style="1" width="13.91"/>
    <col collapsed="false" customWidth="true" hidden="false" outlineLevel="0" max="139" min="139" style="1" width="13.56"/>
    <col collapsed="false" customWidth="true" hidden="false" outlineLevel="0" max="140" min="140" style="1" width="14.43"/>
    <col collapsed="false" customWidth="true" hidden="false" outlineLevel="0" max="141" min="141" style="1" width="13.73"/>
    <col collapsed="false" customWidth="true" hidden="false" outlineLevel="0" max="144" min="142" style="1" width="13.39"/>
    <col collapsed="false" customWidth="true" hidden="false" outlineLevel="0" max="145" min="145" style="1" width="13.91"/>
    <col collapsed="false" customWidth="false" hidden="false" outlineLevel="0" max="146" min="146" style="1" width="11.53"/>
    <col collapsed="false" customWidth="true" hidden="false" outlineLevel="0" max="147" min="147" style="1" width="13.73"/>
    <col collapsed="false" customWidth="true" hidden="false" outlineLevel="0" max="148" min="148" style="1" width="13.39"/>
    <col collapsed="false" customWidth="true" hidden="false" outlineLevel="0" max="149" min="149" style="1" width="14.43"/>
    <col collapsed="false" customWidth="true" hidden="false" outlineLevel="0" max="150" min="150" style="1" width="13.56"/>
    <col collapsed="false" customWidth="true" hidden="false" outlineLevel="0" max="151" min="151" style="1" width="13.03"/>
    <col collapsed="false" customWidth="false" hidden="false" outlineLevel="0" max="16384" min="159" style="1" width="11.53"/>
  </cols>
  <sheetData>
    <row r="1" customFormat="false" ht="15.9" hidden="false" customHeight="true" outlineLevel="0" collapsed="false">
      <c r="A1" s="1" t="s">
        <v>0</v>
      </c>
      <c r="S1" s="2"/>
      <c r="T1" s="2"/>
      <c r="U1" s="2"/>
      <c r="V1" s="3" t="s">
        <v>1</v>
      </c>
      <c r="W1" s="2"/>
      <c r="X1" s="2"/>
      <c r="Y1" s="2"/>
      <c r="Z1" s="2"/>
      <c r="AA1" s="2"/>
      <c r="AB1" s="2"/>
      <c r="AC1" s="2"/>
      <c r="AD1" s="2"/>
      <c r="AE1" s="2"/>
      <c r="AF1" s="2"/>
      <c r="AG1" s="2"/>
      <c r="AH1" s="2"/>
      <c r="AI1" s="2"/>
      <c r="AJ1" s="2"/>
      <c r="AK1" s="2"/>
      <c r="AL1" s="2"/>
      <c r="AM1" s="2"/>
      <c r="AN1" s="2"/>
      <c r="AO1" s="2"/>
      <c r="AP1" s="2"/>
      <c r="AR1" s="4" t="s">
        <v>2</v>
      </c>
      <c r="AW1" s="1" t="s">
        <v>3</v>
      </c>
      <c r="AX1" s="4" t="s">
        <v>4</v>
      </c>
      <c r="BD1" s="4" t="s">
        <v>5</v>
      </c>
      <c r="BE1" s="4"/>
      <c r="BL1" s="1" t="s">
        <v>6</v>
      </c>
      <c r="BM1" s="4" t="s">
        <v>7</v>
      </c>
      <c r="BW1" s="1" t="s">
        <v>8</v>
      </c>
      <c r="CB1" s="1" t="s">
        <v>8</v>
      </c>
      <c r="CE1" s="4" t="s">
        <v>9</v>
      </c>
      <c r="CJ1" s="2"/>
      <c r="CK1" s="2"/>
      <c r="CL1" s="2"/>
      <c r="CM1" s="2"/>
      <c r="CO1" s="1" t="s">
        <v>8</v>
      </c>
      <c r="CS1" s="4" t="s">
        <v>10</v>
      </c>
      <c r="CT1" s="4"/>
      <c r="CV1" s="1" t="s">
        <v>8</v>
      </c>
      <c r="DB1" s="4" t="s">
        <v>11</v>
      </c>
      <c r="DC1" s="4"/>
      <c r="DF1" s="1" t="s">
        <v>8</v>
      </c>
      <c r="DI1" s="4" t="s">
        <v>12</v>
      </c>
      <c r="DJ1" s="4"/>
      <c r="DL1" s="1" t="s">
        <v>8</v>
      </c>
      <c r="DO1" s="4" t="s">
        <v>13</v>
      </c>
      <c r="DT1" s="1" t="s">
        <v>8</v>
      </c>
      <c r="DX1" s="1" t="s">
        <v>8</v>
      </c>
      <c r="EA1" s="4" t="s">
        <v>14</v>
      </c>
    </row>
    <row r="2" customFormat="false" ht="12.8" hidden="false" customHeight="false" outlineLevel="0" collapsed="false">
      <c r="B2" s="1" t="s">
        <v>15</v>
      </c>
      <c r="D2" s="1" t="s">
        <v>16</v>
      </c>
      <c r="I2" s="1" t="s">
        <v>17</v>
      </c>
      <c r="O2" s="1" t="s">
        <v>18</v>
      </c>
      <c r="S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R2" s="1" t="s">
        <v>40</v>
      </c>
      <c r="AW2" s="1" t="s">
        <v>41</v>
      </c>
      <c r="AX2" s="1" t="s">
        <v>42</v>
      </c>
      <c r="AY2" s="1" t="s">
        <v>43</v>
      </c>
      <c r="AZ2" s="1" t="s">
        <v>44</v>
      </c>
      <c r="BA2" s="1" t="s">
        <v>45</v>
      </c>
      <c r="BB2" s="1" t="s">
        <v>46</v>
      </c>
      <c r="BD2" s="1" t="s">
        <v>47</v>
      </c>
      <c r="BE2" s="1" t="s">
        <v>48</v>
      </c>
      <c r="BF2" s="1" t="s">
        <v>49</v>
      </c>
      <c r="BG2" s="1" t="s">
        <v>50</v>
      </c>
      <c r="BH2" s="1" t="s">
        <v>51</v>
      </c>
      <c r="BI2" s="1" t="s">
        <v>52</v>
      </c>
      <c r="BJ2" s="1" t="s">
        <v>53</v>
      </c>
      <c r="BL2" s="1" t="s">
        <v>54</v>
      </c>
      <c r="BM2" s="1" t="s">
        <v>55</v>
      </c>
      <c r="BN2" s="1" t="s">
        <v>56</v>
      </c>
      <c r="BO2" s="1" t="s">
        <v>57</v>
      </c>
      <c r="BP2" s="1" t="s">
        <v>58</v>
      </c>
      <c r="BQ2" s="1" t="s">
        <v>59</v>
      </c>
      <c r="BR2" s="1" t="s">
        <v>60</v>
      </c>
      <c r="BS2" s="1" t="s">
        <v>61</v>
      </c>
      <c r="BT2" s="1" t="s">
        <v>62</v>
      </c>
      <c r="BU2" s="1" t="s">
        <v>63</v>
      </c>
      <c r="BV2" s="1" t="s">
        <v>64</v>
      </c>
      <c r="BW2" s="1" t="s">
        <v>65</v>
      </c>
      <c r="BX2" s="1" t="s">
        <v>66</v>
      </c>
      <c r="BY2" s="1" t="s">
        <v>67</v>
      </c>
      <c r="BZ2" s="1" t="s">
        <v>68</v>
      </c>
      <c r="CA2" s="1" t="s">
        <v>69</v>
      </c>
      <c r="CB2" s="1" t="s">
        <v>70</v>
      </c>
      <c r="CC2" s="1" t="s">
        <v>71</v>
      </c>
      <c r="CE2" s="1" t="s">
        <v>55</v>
      </c>
      <c r="CF2" s="1" t="s">
        <v>56</v>
      </c>
      <c r="CG2" s="1" t="s">
        <v>57</v>
      </c>
      <c r="CH2" s="1" t="s">
        <v>58</v>
      </c>
      <c r="CI2" s="1" t="s">
        <v>59</v>
      </c>
      <c r="CJ2" s="1" t="s">
        <v>72</v>
      </c>
      <c r="CK2" s="1" t="s">
        <v>73</v>
      </c>
      <c r="CL2" s="1" t="s">
        <v>74</v>
      </c>
      <c r="CM2" s="1" t="s">
        <v>75</v>
      </c>
      <c r="CN2" s="1" t="s">
        <v>76</v>
      </c>
      <c r="CO2" s="1" t="s">
        <v>77</v>
      </c>
      <c r="CP2" s="1" t="s">
        <v>78</v>
      </c>
      <c r="CS2" s="1" t="s">
        <v>79</v>
      </c>
      <c r="CT2" s="1" t="s">
        <v>80</v>
      </c>
      <c r="CU2" s="1" t="s">
        <v>81</v>
      </c>
      <c r="CV2" s="1" t="s">
        <v>82</v>
      </c>
      <c r="CW2" s="1" t="s">
        <v>83</v>
      </c>
      <c r="CY2" s="1" t="s">
        <v>84</v>
      </c>
      <c r="CZ2" s="1" t="s">
        <v>85</v>
      </c>
      <c r="DB2" s="1" t="s">
        <v>86</v>
      </c>
      <c r="DC2" s="1" t="s">
        <v>87</v>
      </c>
      <c r="DD2" s="1" t="s">
        <v>88</v>
      </c>
      <c r="DF2" s="1" t="s">
        <v>89</v>
      </c>
      <c r="DG2" s="1" t="s">
        <v>90</v>
      </c>
      <c r="DI2" s="1" t="s">
        <v>91</v>
      </c>
      <c r="DJ2" s="1" t="s">
        <v>92</v>
      </c>
      <c r="DK2" s="1" t="s">
        <v>93</v>
      </c>
      <c r="DL2" s="1" t="s">
        <v>94</v>
      </c>
      <c r="DM2" s="1" t="s">
        <v>95</v>
      </c>
      <c r="DO2" s="1" t="s">
        <v>96</v>
      </c>
      <c r="DP2" s="1" t="s">
        <v>97</v>
      </c>
      <c r="DQ2" s="1" t="s">
        <v>98</v>
      </c>
      <c r="DR2" s="1" t="s">
        <v>99</v>
      </c>
      <c r="DS2" s="1" t="s">
        <v>100</v>
      </c>
      <c r="DT2" s="1" t="s">
        <v>101</v>
      </c>
      <c r="DU2" s="1" t="s">
        <v>102</v>
      </c>
      <c r="DV2" s="1" t="s">
        <v>103</v>
      </c>
      <c r="DW2" s="1" t="s">
        <v>104</v>
      </c>
      <c r="DX2" s="1" t="s">
        <v>105</v>
      </c>
      <c r="DY2" s="1" t="s">
        <v>106</v>
      </c>
      <c r="EA2" s="1" t="s">
        <v>96</v>
      </c>
      <c r="EB2" s="1" t="s">
        <v>100</v>
      </c>
    </row>
    <row r="3" customFormat="false" ht="12.8" hidden="false" customHeight="false" outlineLevel="0" collapsed="false">
      <c r="B3" s="1" t="s">
        <v>107</v>
      </c>
      <c r="C3" s="1" t="s">
        <v>108</v>
      </c>
      <c r="D3" s="1" t="s">
        <v>107</v>
      </c>
      <c r="E3" s="1" t="s">
        <v>108</v>
      </c>
      <c r="F3" s="1" t="s">
        <v>109</v>
      </c>
      <c r="G3" s="1" t="s">
        <v>110</v>
      </c>
      <c r="H3" s="1" t="s">
        <v>111</v>
      </c>
      <c r="I3" s="1" t="s">
        <v>107</v>
      </c>
      <c r="J3" s="1" t="s">
        <v>108</v>
      </c>
      <c r="K3" s="1" t="s">
        <v>112</v>
      </c>
      <c r="L3" s="1" t="s">
        <v>110</v>
      </c>
      <c r="M3" s="1" t="s">
        <v>111</v>
      </c>
      <c r="N3" s="1" t="s">
        <v>113</v>
      </c>
      <c r="O3" s="1" t="s">
        <v>107</v>
      </c>
      <c r="P3" s="1" t="s">
        <v>114</v>
      </c>
      <c r="Q3" s="1" t="s">
        <v>115</v>
      </c>
      <c r="R3" s="1" t="s">
        <v>116</v>
      </c>
      <c r="S3" s="5" t="s">
        <v>117</v>
      </c>
      <c r="T3" s="5" t="s">
        <v>118</v>
      </c>
      <c r="U3" s="5"/>
      <c r="V3" s="6" t="s">
        <v>119</v>
      </c>
      <c r="W3" s="6" t="s">
        <v>120</v>
      </c>
      <c r="X3" s="7" t="s">
        <v>121</v>
      </c>
      <c r="Y3" s="6" t="s">
        <v>122</v>
      </c>
      <c r="Z3" s="6" t="s">
        <v>123</v>
      </c>
      <c r="AA3" s="6" t="s">
        <v>124</v>
      </c>
      <c r="AB3" s="6" t="s">
        <v>125</v>
      </c>
      <c r="AC3" s="6" t="s">
        <v>126</v>
      </c>
      <c r="AD3" s="6" t="s">
        <v>127</v>
      </c>
      <c r="AE3" s="6" t="s">
        <v>128</v>
      </c>
      <c r="AF3" s="6" t="s">
        <v>129</v>
      </c>
      <c r="AG3" s="6" t="s">
        <v>130</v>
      </c>
      <c r="AH3" s="6" t="s">
        <v>131</v>
      </c>
      <c r="AI3" s="6" t="s">
        <v>131</v>
      </c>
      <c r="AJ3" s="6" t="s">
        <v>132</v>
      </c>
      <c r="AK3" s="6" t="s">
        <v>133</v>
      </c>
      <c r="AL3" s="6" t="s">
        <v>134</v>
      </c>
      <c r="AM3" s="6" t="s">
        <v>135</v>
      </c>
      <c r="AN3" s="6" t="s">
        <v>136</v>
      </c>
      <c r="AO3" s="6" t="s">
        <v>137</v>
      </c>
      <c r="AP3" s="6"/>
      <c r="AR3" s="1" t="s">
        <v>138</v>
      </c>
      <c r="AS3" s="1" t="s">
        <v>139</v>
      </c>
      <c r="AT3" s="1" t="s">
        <v>140</v>
      </c>
      <c r="AU3" s="7" t="s">
        <v>141</v>
      </c>
      <c r="AW3" s="6" t="s">
        <v>142</v>
      </c>
      <c r="AX3" s="8" t="s">
        <v>143</v>
      </c>
      <c r="AY3" s="8" t="s">
        <v>144</v>
      </c>
      <c r="AZ3" s="8" t="s">
        <v>145</v>
      </c>
      <c r="BA3" s="8" t="s">
        <v>146</v>
      </c>
      <c r="BB3" s="8" t="s">
        <v>147</v>
      </c>
      <c r="BC3" s="8"/>
      <c r="BD3" s="8" t="s">
        <v>148</v>
      </c>
      <c r="BE3" s="6" t="s">
        <v>149</v>
      </c>
      <c r="BF3" s="6" t="s">
        <v>150</v>
      </c>
      <c r="BG3" s="6" t="s">
        <v>151</v>
      </c>
      <c r="BH3" s="6" t="s">
        <v>152</v>
      </c>
      <c r="BI3" s="6" t="s">
        <v>153</v>
      </c>
      <c r="BJ3" s="6" t="s">
        <v>154</v>
      </c>
      <c r="BK3" s="8"/>
      <c r="BL3" s="8" t="s">
        <v>155</v>
      </c>
      <c r="BM3" s="8" t="s">
        <v>155</v>
      </c>
      <c r="BN3" s="9" t="s">
        <v>156</v>
      </c>
      <c r="BO3" s="10" t="s">
        <v>157</v>
      </c>
      <c r="BP3" s="9" t="s">
        <v>158</v>
      </c>
      <c r="BQ3" s="8" t="s">
        <v>159</v>
      </c>
      <c r="BR3" s="8" t="s">
        <v>160</v>
      </c>
      <c r="BS3" s="9" t="s">
        <v>161</v>
      </c>
      <c r="BT3" s="8" t="s">
        <v>162</v>
      </c>
      <c r="BU3" s="6" t="s">
        <v>163</v>
      </c>
      <c r="BV3" s="8" t="s">
        <v>164</v>
      </c>
      <c r="BW3" s="6" t="s">
        <v>165</v>
      </c>
      <c r="BX3" s="6" t="s">
        <v>166</v>
      </c>
      <c r="BY3" s="6" t="s">
        <v>167</v>
      </c>
      <c r="BZ3" s="6" t="s">
        <v>168</v>
      </c>
      <c r="CA3" s="6" t="s">
        <v>169</v>
      </c>
      <c r="CB3" s="6" t="s">
        <v>170</v>
      </c>
      <c r="CC3" s="6" t="s">
        <v>171</v>
      </c>
      <c r="CD3" s="2"/>
      <c r="CE3" s="8" t="s">
        <v>172</v>
      </c>
      <c r="CF3" s="9" t="s">
        <v>173</v>
      </c>
      <c r="CG3" s="10" t="s">
        <v>174</v>
      </c>
      <c r="CH3" s="9" t="s">
        <v>175</v>
      </c>
      <c r="CI3" s="8" t="s">
        <v>176</v>
      </c>
      <c r="CJ3" s="8" t="s">
        <v>177</v>
      </c>
      <c r="CK3" s="9" t="s">
        <v>178</v>
      </c>
      <c r="CL3" s="8" t="s">
        <v>179</v>
      </c>
      <c r="CM3" s="6" t="s">
        <v>180</v>
      </c>
      <c r="CN3" s="9" t="s">
        <v>181</v>
      </c>
      <c r="CO3" s="6" t="s">
        <v>182</v>
      </c>
      <c r="CP3" s="6" t="s">
        <v>183</v>
      </c>
      <c r="CQ3" s="7"/>
      <c r="CR3" s="7"/>
      <c r="CS3" s="8" t="s">
        <v>184</v>
      </c>
      <c r="CT3" s="6" t="s">
        <v>185</v>
      </c>
      <c r="CU3" s="9" t="s">
        <v>186</v>
      </c>
      <c r="CV3" s="6" t="s">
        <v>187</v>
      </c>
      <c r="CW3" s="6" t="s">
        <v>188</v>
      </c>
      <c r="CX3" s="9"/>
      <c r="CY3" s="8" t="s">
        <v>189</v>
      </c>
      <c r="CZ3" s="9" t="s">
        <v>190</v>
      </c>
      <c r="DA3" s="7"/>
      <c r="DB3" s="8" t="s">
        <v>191</v>
      </c>
      <c r="DC3" s="6" t="s">
        <v>192</v>
      </c>
      <c r="DD3" s="9" t="s">
        <v>193</v>
      </c>
      <c r="DF3" s="6" t="s">
        <v>194</v>
      </c>
      <c r="DG3" s="6" t="s">
        <v>195</v>
      </c>
      <c r="DH3" s="7"/>
      <c r="DI3" s="8" t="s">
        <v>196</v>
      </c>
      <c r="DJ3" s="6" t="s">
        <v>197</v>
      </c>
      <c r="DK3" s="9" t="s">
        <v>198</v>
      </c>
      <c r="DL3" s="6" t="s">
        <v>199</v>
      </c>
      <c r="DM3" s="6" t="s">
        <v>200</v>
      </c>
      <c r="DN3" s="7"/>
      <c r="DO3" s="7" t="s">
        <v>201</v>
      </c>
      <c r="DP3" s="8" t="s">
        <v>202</v>
      </c>
      <c r="DQ3" s="8" t="s">
        <v>203</v>
      </c>
      <c r="DR3" s="6" t="s">
        <v>204</v>
      </c>
      <c r="DS3" s="9" t="s">
        <v>205</v>
      </c>
      <c r="DT3" s="8" t="s">
        <v>206</v>
      </c>
      <c r="DU3" s="6" t="s">
        <v>207</v>
      </c>
      <c r="DV3" s="8" t="s">
        <v>208</v>
      </c>
      <c r="DW3" s="8" t="s">
        <v>209</v>
      </c>
      <c r="DX3" s="6" t="s">
        <v>210</v>
      </c>
      <c r="DY3" s="6" t="s">
        <v>211</v>
      </c>
      <c r="DZ3" s="8"/>
      <c r="EA3" s="7" t="s">
        <v>212</v>
      </c>
      <c r="EB3" s="9" t="s">
        <v>213</v>
      </c>
      <c r="ED3" s="7"/>
      <c r="EF3" s="11"/>
      <c r="EG3" s="12"/>
      <c r="EH3" s="12"/>
      <c r="EI3" s="12"/>
      <c r="EJ3" s="12"/>
      <c r="EK3" s="12"/>
      <c r="EL3" s="12"/>
      <c r="EM3" s="12"/>
      <c r="EN3" s="12"/>
      <c r="EO3" s="12"/>
      <c r="EQ3" s="11"/>
      <c r="ER3" s="12"/>
      <c r="ES3" s="12"/>
      <c r="ET3" s="12"/>
      <c r="EU3" s="12"/>
    </row>
    <row r="4" customFormat="false" ht="12.8" hidden="false" customHeight="false" outlineLevel="0" collapsed="false">
      <c r="A4" s="1" t="s">
        <v>214</v>
      </c>
      <c r="V4" s="6" t="s">
        <v>215</v>
      </c>
      <c r="W4" s="8" t="s">
        <v>216</v>
      </c>
      <c r="X4" s="8" t="s">
        <v>217</v>
      </c>
      <c r="AC4" s="6" t="s">
        <v>218</v>
      </c>
      <c r="AD4" s="6" t="s">
        <v>219</v>
      </c>
      <c r="AE4" s="6" t="s">
        <v>220</v>
      </c>
      <c r="AJ4" s="6" t="s">
        <v>221</v>
      </c>
      <c r="AK4" s="6" t="s">
        <v>222</v>
      </c>
      <c r="AL4" s="6" t="s">
        <v>223</v>
      </c>
      <c r="AM4" s="6" t="s">
        <v>224</v>
      </c>
      <c r="AN4" s="6" t="s">
        <v>225</v>
      </c>
      <c r="AO4" s="6" t="s">
        <v>226</v>
      </c>
      <c r="AW4" s="13"/>
      <c r="AX4" s="6" t="s">
        <v>227</v>
      </c>
      <c r="BA4" s="6" t="s">
        <v>228</v>
      </c>
      <c r="BD4" s="8" t="s">
        <v>229</v>
      </c>
      <c r="BE4" s="14"/>
      <c r="BF4" s="6" t="s">
        <v>230</v>
      </c>
      <c r="BG4" s="13"/>
      <c r="BH4" s="6" t="s">
        <v>231</v>
      </c>
      <c r="BI4" s="13"/>
      <c r="BJ4" s="6" t="s">
        <v>232</v>
      </c>
      <c r="BT4" s="6" t="s">
        <v>233</v>
      </c>
      <c r="BU4" s="15"/>
      <c r="BV4" s="6" t="s">
        <v>165</v>
      </c>
      <c r="BW4" s="6" t="s">
        <v>234</v>
      </c>
      <c r="BX4" s="6" t="s">
        <v>235</v>
      </c>
      <c r="BY4" s="6" t="s">
        <v>236</v>
      </c>
      <c r="BZ4" s="15"/>
      <c r="CA4" s="6" t="s">
        <v>170</v>
      </c>
      <c r="CB4" s="6" t="s">
        <v>237</v>
      </c>
      <c r="CC4" s="16" t="s">
        <v>238</v>
      </c>
      <c r="CE4" s="6" t="s">
        <v>239</v>
      </c>
      <c r="CF4" s="2"/>
      <c r="CL4" s="6" t="s">
        <v>239</v>
      </c>
      <c r="CM4" s="15"/>
      <c r="CN4" s="6" t="s">
        <v>182</v>
      </c>
      <c r="CO4" s="17"/>
      <c r="CP4" s="8" t="s">
        <v>240</v>
      </c>
      <c r="CS4" s="6" t="s">
        <v>241</v>
      </c>
      <c r="CT4" s="15"/>
      <c r="CU4" s="6" t="s">
        <v>187</v>
      </c>
      <c r="CV4" s="17" t="s">
        <v>242</v>
      </c>
      <c r="CW4" s="10" t="s">
        <v>243</v>
      </c>
      <c r="DB4" s="6" t="s">
        <v>244</v>
      </c>
      <c r="DC4" s="13"/>
      <c r="DD4" s="6" t="s">
        <v>194</v>
      </c>
      <c r="DF4" s="17" t="s">
        <v>245</v>
      </c>
      <c r="DG4" s="18" t="s">
        <v>246</v>
      </c>
      <c r="DI4" s="6" t="s">
        <v>247</v>
      </c>
      <c r="DJ4" s="13"/>
      <c r="DK4" s="6" t="s">
        <v>199</v>
      </c>
      <c r="DL4" s="6" t="s">
        <v>248</v>
      </c>
      <c r="DM4" s="16" t="s">
        <v>249</v>
      </c>
      <c r="DQ4" s="6" t="s">
        <v>250</v>
      </c>
      <c r="DR4" s="17"/>
      <c r="DS4" s="6" t="s">
        <v>206</v>
      </c>
      <c r="DT4" s="15"/>
      <c r="DU4" s="15"/>
      <c r="DV4" s="6" t="s">
        <v>251</v>
      </c>
      <c r="DW4" s="6" t="s">
        <v>210</v>
      </c>
      <c r="DX4" s="6"/>
      <c r="DY4" s="6"/>
    </row>
    <row r="5" customFormat="false" ht="12.8" hidden="false" customHeight="false" outlineLevel="0" collapsed="false">
      <c r="A5" s="1" t="s">
        <v>252</v>
      </c>
      <c r="S5" s="19" t="n">
        <v>8039156</v>
      </c>
      <c r="T5" s="20" t="n">
        <v>8881788</v>
      </c>
      <c r="U5" s="20"/>
      <c r="V5" s="20"/>
      <c r="W5" s="17"/>
      <c r="X5" s="20"/>
      <c r="Y5" s="20"/>
      <c r="Z5" s="20"/>
      <c r="AA5" s="20"/>
      <c r="AB5" s="20"/>
      <c r="AC5" s="20"/>
      <c r="AD5" s="15"/>
      <c r="AE5" s="20"/>
      <c r="AF5" s="20"/>
      <c r="AG5" s="20"/>
      <c r="AH5" s="20"/>
      <c r="AI5" s="20"/>
      <c r="AJ5" s="20"/>
      <c r="AK5" s="15"/>
      <c r="AL5" s="20"/>
      <c r="AM5" s="20"/>
      <c r="AN5" s="15"/>
      <c r="AO5" s="20"/>
      <c r="AP5" s="20"/>
      <c r="AQ5" s="20"/>
      <c r="AR5" s="19" t="n">
        <v>5637105</v>
      </c>
      <c r="AS5" s="20" t="n">
        <v>5700935</v>
      </c>
      <c r="AU5" s="19" t="n">
        <v>5229761</v>
      </c>
      <c r="AX5" s="13"/>
      <c r="BD5" s="13"/>
      <c r="BE5" s="6"/>
      <c r="BF5" s="13"/>
      <c r="BH5" s="13"/>
      <c r="BJ5" s="6"/>
      <c r="BT5" s="15"/>
      <c r="BV5" s="6"/>
      <c r="BY5" s="15"/>
      <c r="BZ5" s="2"/>
      <c r="CA5" s="6"/>
      <c r="CL5" s="15"/>
      <c r="CN5" s="6"/>
      <c r="CS5" s="15"/>
      <c r="CU5" s="6"/>
      <c r="DB5" s="13"/>
      <c r="DD5" s="6"/>
      <c r="DI5" s="13"/>
      <c r="DK5" s="6"/>
      <c r="DQ5" s="15"/>
      <c r="DS5" s="6"/>
      <c r="DV5" s="6"/>
      <c r="DW5" s="6"/>
    </row>
    <row r="6" customFormat="false" ht="12.8" hidden="false" customHeight="false" outlineLevel="0" collapsed="false">
      <c r="A6" s="1" t="s">
        <v>253</v>
      </c>
      <c r="B6" s="1" t="n">
        <v>15549689</v>
      </c>
      <c r="C6" s="1" t="n">
        <v>12851889</v>
      </c>
      <c r="E6" s="1" t="n">
        <v>12748107</v>
      </c>
      <c r="F6" s="1" t="n">
        <v>12556299</v>
      </c>
      <c r="G6" s="1" t="n">
        <v>11669720</v>
      </c>
      <c r="H6" s="1" t="n">
        <v>11993791</v>
      </c>
      <c r="I6" s="1" t="n">
        <v>15550000</v>
      </c>
      <c r="J6" s="1" t="n">
        <v>12748000</v>
      </c>
      <c r="K6" s="1" t="n">
        <v>12067000</v>
      </c>
      <c r="L6" s="1" t="n">
        <v>11670000</v>
      </c>
      <c r="M6" s="1" t="n">
        <v>11934000</v>
      </c>
      <c r="N6" s="1" t="n">
        <v>10753000</v>
      </c>
      <c r="O6" s="1" t="n">
        <v>15550000</v>
      </c>
      <c r="P6" s="1" t="n">
        <v>12556000</v>
      </c>
      <c r="Q6" s="1" t="n">
        <v>10930000</v>
      </c>
      <c r="R6" s="1" t="n">
        <v>2707000</v>
      </c>
      <c r="S6" s="19" t="n">
        <v>17627767.42</v>
      </c>
      <c r="T6" s="19" t="n">
        <v>15497569.27</v>
      </c>
      <c r="U6" s="19"/>
      <c r="V6" s="21" t="n">
        <v>2866760.39</v>
      </c>
      <c r="W6" s="21" t="n">
        <v>11890465.11</v>
      </c>
      <c r="X6" s="2"/>
      <c r="Y6" s="19"/>
      <c r="Z6" s="19"/>
      <c r="AA6" s="19"/>
      <c r="AB6" s="19"/>
      <c r="AC6" s="21" t="n">
        <v>2846155.85</v>
      </c>
      <c r="AD6" s="21" t="n">
        <v>12218140.58</v>
      </c>
      <c r="AE6" s="19"/>
      <c r="AF6" s="19"/>
      <c r="AG6" s="19"/>
      <c r="AH6" s="19"/>
      <c r="AI6" s="19"/>
      <c r="AJ6" s="21" t="n">
        <v>2682183.55</v>
      </c>
      <c r="AK6" s="21" t="n">
        <v>13313796.13</v>
      </c>
      <c r="AL6" s="21"/>
      <c r="AM6" s="21" t="n">
        <v>2872386.97</v>
      </c>
      <c r="AN6" s="21" t="n">
        <v>11890620.77</v>
      </c>
      <c r="AO6" s="19"/>
      <c r="AP6" s="19"/>
      <c r="AQ6" s="2"/>
      <c r="AR6" s="19" t="n">
        <v>11921623.22</v>
      </c>
      <c r="AS6" s="19" t="n">
        <v>12170244.5</v>
      </c>
      <c r="AT6" s="19" t="n">
        <v>12101598.8</v>
      </c>
      <c r="AU6" s="19" t="n">
        <v>12101598.8</v>
      </c>
      <c r="AX6" s="22" t="n">
        <v>11921623.14</v>
      </c>
      <c r="AY6" s="2"/>
      <c r="BA6" s="22" t="n">
        <v>12487988.36</v>
      </c>
      <c r="BD6" s="23" t="n">
        <v>11088997.43</v>
      </c>
      <c r="BE6" s="23"/>
      <c r="BF6" s="22" t="n">
        <v>11274535.58</v>
      </c>
      <c r="BG6" s="22"/>
      <c r="BH6" s="22" t="n">
        <v>12165560.14</v>
      </c>
      <c r="BI6" s="22"/>
      <c r="BJ6" s="22" t="n">
        <v>12161185.05</v>
      </c>
      <c r="BL6" s="20" t="n">
        <v>12288308.39</v>
      </c>
      <c r="BT6" s="22" t="n">
        <v>11471435.47</v>
      </c>
      <c r="BU6" s="22"/>
      <c r="BV6" s="22" t="n">
        <v>11188983.62</v>
      </c>
      <c r="BW6" s="21" t="n">
        <v>11274554.76</v>
      </c>
      <c r="BX6" s="22"/>
      <c r="BY6" s="22" t="n">
        <v>11323327.09</v>
      </c>
      <c r="BZ6" s="22"/>
      <c r="CA6" s="22" t="n">
        <v>11179601.14</v>
      </c>
      <c r="CB6" s="21" t="n">
        <v>11274555.35</v>
      </c>
      <c r="CC6" s="22"/>
      <c r="CL6" s="22" t="n">
        <v>11533399.37</v>
      </c>
      <c r="CM6" s="22"/>
      <c r="CN6" s="22" t="n">
        <v>10979005.62</v>
      </c>
      <c r="CO6" s="21" t="n">
        <v>11590697.86</v>
      </c>
      <c r="CS6" s="22" t="n">
        <v>11482577.76</v>
      </c>
      <c r="CT6" s="22"/>
      <c r="CU6" s="22" t="n">
        <v>11068148.97</v>
      </c>
      <c r="CV6" s="21" t="n">
        <v>11274554.76</v>
      </c>
      <c r="CW6" s="22"/>
      <c r="DB6" s="22" t="n">
        <v>12448556.98</v>
      </c>
      <c r="DC6" s="22"/>
      <c r="DD6" s="22" t="n">
        <v>12448556.98</v>
      </c>
      <c r="DF6" s="21" t="n">
        <v>11274544.97</v>
      </c>
      <c r="DG6" s="22"/>
      <c r="DI6" s="24" t="n">
        <v>13680708.55</v>
      </c>
      <c r="DJ6" s="24"/>
      <c r="DK6" s="22" t="n">
        <v>13892996.28</v>
      </c>
      <c r="DL6" s="21" t="n">
        <v>11274572.24</v>
      </c>
      <c r="DM6" s="22"/>
      <c r="DQ6" s="22" t="n">
        <v>13191830.71</v>
      </c>
      <c r="DR6" s="22"/>
      <c r="DS6" s="22" t="n">
        <v>11138105.55</v>
      </c>
      <c r="DT6" s="21" t="n">
        <v>11138105.55</v>
      </c>
      <c r="DU6" s="22"/>
      <c r="DV6" s="22" t="n">
        <v>14157957.93</v>
      </c>
      <c r="DW6" s="22" t="n">
        <v>11116893.6</v>
      </c>
      <c r="DX6" s="21" t="n">
        <v>11116893.6</v>
      </c>
      <c r="DY6" s="22"/>
      <c r="EF6" s="21"/>
      <c r="EG6" s="21"/>
      <c r="EH6" s="21"/>
      <c r="EI6" s="21"/>
      <c r="EJ6" s="21"/>
      <c r="EK6" s="21"/>
      <c r="EL6" s="21"/>
      <c r="EM6" s="21"/>
      <c r="EN6" s="21"/>
      <c r="EO6" s="21"/>
      <c r="EQ6" s="21"/>
      <c r="ER6" s="21"/>
      <c r="ES6" s="21"/>
      <c r="ET6" s="21"/>
      <c r="EU6" s="21"/>
    </row>
    <row r="7" customFormat="false" ht="12.8" hidden="false" customHeight="false" outlineLevel="0" collapsed="false">
      <c r="A7" s="1" t="s">
        <v>254</v>
      </c>
      <c r="S7" s="19"/>
      <c r="T7" s="19"/>
      <c r="U7" s="19"/>
      <c r="V7" s="19"/>
      <c r="W7" s="25" t="n">
        <v>52972730.65</v>
      </c>
      <c r="X7" s="25" t="n">
        <v>32853000.5</v>
      </c>
      <c r="Y7" s="19"/>
      <c r="Z7" s="19"/>
      <c r="AA7" s="19"/>
      <c r="AB7" s="19"/>
      <c r="AC7" s="19"/>
      <c r="AD7" s="21" t="n">
        <v>55077190.49</v>
      </c>
      <c r="AE7" s="21" t="n">
        <v>38120307.17</v>
      </c>
      <c r="AF7" s="19"/>
      <c r="AG7" s="19"/>
      <c r="AH7" s="19"/>
      <c r="AI7" s="19"/>
      <c r="AJ7" s="19"/>
      <c r="AK7" s="21" t="n">
        <v>54173269.05</v>
      </c>
      <c r="AL7" s="21" t="n">
        <v>34943194.77</v>
      </c>
      <c r="AM7" s="19"/>
      <c r="AN7" s="26" t="n">
        <v>52703550.08</v>
      </c>
      <c r="AO7" s="26" t="n">
        <v>32647139.38</v>
      </c>
      <c r="AP7" s="19"/>
      <c r="AQ7" s="2"/>
      <c r="AR7" s="19"/>
      <c r="AS7" s="19"/>
      <c r="AT7" s="19"/>
      <c r="AU7" s="19"/>
      <c r="AW7" s="27" t="n">
        <v>32300299.42</v>
      </c>
      <c r="AX7" s="27" t="n">
        <v>55141389.33</v>
      </c>
      <c r="AY7" s="2"/>
      <c r="BA7" s="22"/>
      <c r="BD7" s="27" t="n">
        <v>48951315.87</v>
      </c>
      <c r="BE7" s="28" t="n">
        <v>31361982.29</v>
      </c>
      <c r="BF7" s="27" t="n">
        <v>51377355.29</v>
      </c>
      <c r="BG7" s="27" t="n">
        <v>45033064.06</v>
      </c>
      <c r="BH7" s="27" t="n">
        <v>51472715.72</v>
      </c>
      <c r="BI7" s="27" t="n">
        <v>36032686.19</v>
      </c>
      <c r="BJ7" s="22"/>
      <c r="BL7" s="20"/>
      <c r="BT7" s="21" t="n">
        <v>62451179.63</v>
      </c>
      <c r="BU7" s="21" t="n">
        <v>31617423.59</v>
      </c>
      <c r="BV7" s="22"/>
      <c r="BW7" s="26" t="n">
        <v>51265832.89</v>
      </c>
      <c r="BX7" s="26" t="n">
        <v>35796425.09</v>
      </c>
      <c r="BY7" s="26" t="n">
        <v>66825219.87</v>
      </c>
      <c r="BZ7" s="21" t="n">
        <v>31777108.45</v>
      </c>
      <c r="CA7" s="22"/>
      <c r="CB7" s="26" t="n">
        <v>51232645.8</v>
      </c>
      <c r="CC7" s="29" t="n">
        <v>35748456.86</v>
      </c>
      <c r="CL7" s="21" t="n">
        <v>51151107.27</v>
      </c>
      <c r="CM7" s="21" t="n">
        <v>31066159.83</v>
      </c>
      <c r="CN7" s="22"/>
      <c r="CO7" s="25" t="n">
        <v>51976301.26</v>
      </c>
      <c r="CP7" s="25" t="n">
        <v>32919762.9</v>
      </c>
      <c r="CS7" s="21" t="n">
        <v>62404268.72</v>
      </c>
      <c r="CT7" s="21" t="n">
        <v>31566025.49</v>
      </c>
      <c r="CU7" s="22"/>
      <c r="CV7" s="25" t="n">
        <v>51192264.68</v>
      </c>
      <c r="CW7" s="30" t="n">
        <v>35683845.24</v>
      </c>
      <c r="DB7" s="27" t="n">
        <v>62472274.99</v>
      </c>
      <c r="DC7" s="27" t="n">
        <v>33654856.02</v>
      </c>
      <c r="DD7" s="22"/>
      <c r="DF7" s="25" t="n">
        <v>51289186.25</v>
      </c>
      <c r="DG7" s="30" t="n">
        <v>35739254.71</v>
      </c>
      <c r="DI7" s="31" t="n">
        <v>69235465.82</v>
      </c>
      <c r="DJ7" s="27" t="n">
        <v>42853564.69</v>
      </c>
      <c r="DK7" s="22"/>
      <c r="DL7" s="26" t="n">
        <v>51052924.65</v>
      </c>
      <c r="DM7" s="29" t="n">
        <v>35829574.04</v>
      </c>
      <c r="DQ7" s="21" t="n">
        <v>54225351.53</v>
      </c>
      <c r="DR7" s="25" t="n">
        <v>35540383.11</v>
      </c>
      <c r="DS7" s="22"/>
      <c r="DT7" s="21" t="n">
        <v>48580193.37</v>
      </c>
      <c r="DU7" s="21" t="n">
        <v>31614511.16</v>
      </c>
      <c r="DV7" s="22"/>
      <c r="DW7" s="22"/>
      <c r="DX7" s="22"/>
      <c r="DY7" s="22"/>
      <c r="EF7" s="21"/>
      <c r="EG7" s="21"/>
      <c r="EH7" s="21"/>
      <c r="EI7" s="21"/>
      <c r="EJ7" s="21"/>
      <c r="EK7" s="21"/>
      <c r="EL7" s="21"/>
      <c r="EM7" s="21"/>
      <c r="EN7" s="21"/>
      <c r="EO7" s="21"/>
      <c r="EQ7" s="21"/>
      <c r="ER7" s="21"/>
      <c r="ES7" s="21"/>
      <c r="ET7" s="21"/>
      <c r="EU7" s="21"/>
    </row>
    <row r="9" customFormat="false" ht="12.8" hidden="false" customHeight="false" outlineLevel="0" collapsed="false">
      <c r="A9" s="1" t="s">
        <v>255</v>
      </c>
    </row>
    <row r="10" customFormat="false" ht="12.8" hidden="false" customHeight="false" outlineLevel="0" collapsed="false">
      <c r="A10" s="1" t="s">
        <v>256</v>
      </c>
      <c r="D10" s="1" t="n">
        <v>57</v>
      </c>
      <c r="E10" s="1" t="n">
        <v>147</v>
      </c>
      <c r="F10" s="1" t="n">
        <v>310</v>
      </c>
      <c r="G10" s="1" t="n">
        <v>121</v>
      </c>
      <c r="H10" s="1" t="n">
        <v>284</v>
      </c>
      <c r="I10" s="1" t="n">
        <v>72</v>
      </c>
      <c r="J10" s="1" t="n">
        <v>174</v>
      </c>
      <c r="K10" s="1" t="n">
        <v>469</v>
      </c>
      <c r="L10" s="1" t="n">
        <v>161</v>
      </c>
      <c r="M10" s="1" t="n">
        <v>365</v>
      </c>
      <c r="N10" s="1" t="n">
        <v>112</v>
      </c>
      <c r="O10" s="1" t="n">
        <v>72</v>
      </c>
      <c r="P10" s="1" t="n">
        <v>148</v>
      </c>
      <c r="Q10" s="1" t="n">
        <v>209</v>
      </c>
      <c r="R10" s="1" t="n">
        <v>90</v>
      </c>
      <c r="S10" s="23" t="n">
        <v>492.3</v>
      </c>
      <c r="T10" s="25" t="n">
        <v>75.62</v>
      </c>
      <c r="U10" s="25"/>
      <c r="V10" s="21" t="n">
        <v>120.16</v>
      </c>
      <c r="W10" s="21" t="n">
        <v>172.82</v>
      </c>
      <c r="X10" s="21" t="n">
        <v>172.82</v>
      </c>
      <c r="Y10" s="21" t="n">
        <v>177.84</v>
      </c>
      <c r="Z10" s="21" t="n">
        <v>177.84</v>
      </c>
      <c r="AA10" s="21" t="n">
        <v>138.04</v>
      </c>
      <c r="AB10" s="21" t="n">
        <v>138.04</v>
      </c>
      <c r="AC10" s="21" t="n">
        <v>126.38</v>
      </c>
      <c r="AD10" s="21" t="n">
        <v>166.14</v>
      </c>
      <c r="AE10" s="21" t="n">
        <v>166.14</v>
      </c>
      <c r="AF10" s="21" t="n">
        <v>150.46</v>
      </c>
      <c r="AG10" s="21" t="n">
        <v>150.46</v>
      </c>
      <c r="AH10" s="21" t="n">
        <v>129.5</v>
      </c>
      <c r="AI10" s="21" t="n">
        <v>129.5</v>
      </c>
      <c r="AJ10" s="21" t="n">
        <v>118.9</v>
      </c>
      <c r="AK10" s="21" t="n">
        <v>162.58</v>
      </c>
      <c r="AL10" s="21"/>
      <c r="AM10" s="21" t="n">
        <v>120.66</v>
      </c>
      <c r="AN10" s="21" t="n">
        <v>197.26</v>
      </c>
      <c r="AO10" s="21"/>
      <c r="AP10" s="21"/>
      <c r="AQ10" s="25"/>
      <c r="AR10" s="23" t="n">
        <v>341.28</v>
      </c>
      <c r="AS10" s="23" t="n">
        <v>277.88</v>
      </c>
      <c r="AT10" s="25" t="n">
        <v>316.72</v>
      </c>
      <c r="AU10" s="25" t="n">
        <v>316.72</v>
      </c>
      <c r="AW10" s="23" t="n">
        <v>340.9</v>
      </c>
      <c r="AX10" s="23" t="n">
        <v>340.9</v>
      </c>
      <c r="AY10" s="19" t="n">
        <v>340.9</v>
      </c>
      <c r="AZ10" s="23" t="n">
        <v>236.04</v>
      </c>
      <c r="BA10" s="23" t="n">
        <v>478.26</v>
      </c>
      <c r="BB10" s="23" t="n">
        <v>478.26</v>
      </c>
      <c r="BC10" s="23"/>
      <c r="BD10" s="19" t="n">
        <v>329.36</v>
      </c>
      <c r="BE10" s="19"/>
      <c r="BF10" s="19" t="n">
        <v>262.84</v>
      </c>
      <c r="BG10" s="19"/>
      <c r="BH10" s="19" t="n">
        <v>195.3</v>
      </c>
      <c r="BI10" s="19"/>
      <c r="BJ10" s="19" t="n">
        <v>178.04</v>
      </c>
      <c r="BK10" s="23"/>
      <c r="BL10" s="23" t="n">
        <v>136.18</v>
      </c>
      <c r="BM10" s="23" t="n">
        <v>118.32</v>
      </c>
      <c r="BN10" s="19" t="n">
        <v>118.32</v>
      </c>
      <c r="BO10" s="23" t="n">
        <v>118.44</v>
      </c>
      <c r="BP10" s="19" t="n">
        <v>118.32</v>
      </c>
      <c r="BQ10" s="25" t="n">
        <v>118.32</v>
      </c>
      <c r="BR10" s="23" t="n">
        <v>119.44</v>
      </c>
      <c r="BS10" s="19" t="n">
        <v>119.22</v>
      </c>
      <c r="BT10" s="23" t="n">
        <v>118.82</v>
      </c>
      <c r="BU10" s="23"/>
      <c r="BV10" s="19" t="n">
        <v>118.82</v>
      </c>
      <c r="BW10" s="21" t="n">
        <v>262.84</v>
      </c>
      <c r="BX10" s="19"/>
      <c r="BY10" s="19" t="n">
        <v>118.94</v>
      </c>
      <c r="BZ10" s="19"/>
      <c r="CA10" s="19" t="n">
        <v>118.82</v>
      </c>
      <c r="CB10" s="21" t="n">
        <v>262.84</v>
      </c>
      <c r="CC10" s="19"/>
      <c r="CD10" s="2"/>
      <c r="CE10" s="25" t="n">
        <v>333.56</v>
      </c>
      <c r="CF10" s="19" t="n">
        <v>323.02</v>
      </c>
      <c r="CG10" s="25" t="n">
        <v>343.02</v>
      </c>
      <c r="CH10" s="19" t="n">
        <v>323.02</v>
      </c>
      <c r="CI10" s="23" t="n">
        <v>323.02</v>
      </c>
      <c r="CJ10" s="25" t="n">
        <v>327.34</v>
      </c>
      <c r="CK10" s="19" t="n">
        <v>320.82</v>
      </c>
      <c r="CL10" s="25" t="n">
        <v>332.68</v>
      </c>
      <c r="CM10" s="25"/>
      <c r="CN10" s="19" t="n">
        <v>322.14</v>
      </c>
      <c r="CO10" s="21" t="n">
        <v>488.4</v>
      </c>
      <c r="CP10" s="19"/>
      <c r="CQ10" s="25"/>
      <c r="CR10" s="25"/>
      <c r="CS10" s="23" t="n">
        <v>118.82</v>
      </c>
      <c r="CT10" s="23"/>
      <c r="CU10" s="19" t="n">
        <v>125.26</v>
      </c>
      <c r="CV10" s="21" t="n">
        <v>262.84</v>
      </c>
      <c r="CW10" s="19"/>
      <c r="CX10" s="23"/>
      <c r="CY10" s="25" t="n">
        <v>331.08</v>
      </c>
      <c r="CZ10" s="19" t="n">
        <v>321.6</v>
      </c>
      <c r="DA10" s="25"/>
      <c r="DB10" s="25" t="n">
        <v>117.74</v>
      </c>
      <c r="DC10" s="25"/>
      <c r="DD10" s="19" t="n">
        <v>117.74</v>
      </c>
      <c r="DF10" s="21" t="n">
        <v>262.84</v>
      </c>
      <c r="DG10" s="19"/>
      <c r="DH10" s="23"/>
      <c r="DI10" s="23" t="n">
        <v>111.82</v>
      </c>
      <c r="DJ10" s="23"/>
      <c r="DK10" s="19" t="n">
        <v>113.46</v>
      </c>
      <c r="DL10" s="21" t="n">
        <v>262.84</v>
      </c>
      <c r="DM10" s="19"/>
      <c r="DN10" s="23"/>
      <c r="DO10" s="19" t="n">
        <v>360.14</v>
      </c>
      <c r="DP10" s="23" t="n">
        <v>363.44</v>
      </c>
      <c r="DQ10" s="25" t="n">
        <v>356.3</v>
      </c>
      <c r="DR10" s="25"/>
      <c r="DS10" s="19" t="n">
        <v>329.34</v>
      </c>
      <c r="DT10" s="21" t="n">
        <v>329.36</v>
      </c>
      <c r="DU10" s="19"/>
      <c r="DV10" s="25" t="n">
        <v>406.76</v>
      </c>
      <c r="DW10" s="23" t="n">
        <v>329.34</v>
      </c>
      <c r="DX10" s="21" t="n">
        <v>329.36</v>
      </c>
      <c r="DY10" s="23"/>
      <c r="DZ10" s="25"/>
      <c r="EA10" s="19" t="n">
        <v>235.86</v>
      </c>
      <c r="EB10" s="19" t="n">
        <v>513.58</v>
      </c>
      <c r="ED10" s="25"/>
      <c r="EF10" s="21"/>
      <c r="EG10" s="21"/>
      <c r="EH10" s="21"/>
      <c r="EI10" s="21"/>
      <c r="EJ10" s="21"/>
      <c r="EK10" s="21"/>
      <c r="EL10" s="21"/>
      <c r="EM10" s="21"/>
      <c r="EN10" s="21"/>
      <c r="EO10" s="21"/>
      <c r="EQ10" s="21"/>
      <c r="ER10" s="21"/>
      <c r="ES10" s="21"/>
      <c r="ET10" s="21"/>
      <c r="EU10" s="21"/>
    </row>
    <row r="11" customFormat="false" ht="12.8" hidden="false" customHeight="false" outlineLevel="0" collapsed="false">
      <c r="A11" s="1" t="s">
        <v>257</v>
      </c>
      <c r="D11" s="1" t="n">
        <v>6416</v>
      </c>
      <c r="E11" s="1" t="n">
        <v>5915</v>
      </c>
      <c r="F11" s="1" t="n">
        <v>4527</v>
      </c>
      <c r="G11" s="1" t="n">
        <v>4344</v>
      </c>
      <c r="H11" s="1" t="n">
        <v>9955</v>
      </c>
      <c r="I11" s="1" t="n">
        <v>8431</v>
      </c>
      <c r="J11" s="1" t="n">
        <v>7310</v>
      </c>
      <c r="K11" s="1" t="n">
        <v>5474</v>
      </c>
      <c r="L11" s="1" t="n">
        <v>5798</v>
      </c>
      <c r="M11" s="1" t="n">
        <v>10681</v>
      </c>
      <c r="N11" s="1" t="n">
        <v>5226</v>
      </c>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3"/>
      <c r="AS11" s="23"/>
      <c r="AT11" s="25"/>
      <c r="AU11" s="25"/>
      <c r="AW11" s="2"/>
      <c r="AX11" s="2"/>
      <c r="AY11" s="2"/>
      <c r="AZ11" s="2"/>
      <c r="BA11" s="2"/>
      <c r="BL11" s="2"/>
      <c r="BM11" s="2"/>
      <c r="BN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F11" s="2"/>
      <c r="DG11" s="2"/>
      <c r="DH11" s="2"/>
      <c r="DI11" s="2"/>
      <c r="DJ11" s="2"/>
      <c r="DK11" s="2"/>
      <c r="DL11" s="2"/>
      <c r="DM11" s="2"/>
      <c r="DN11" s="2"/>
      <c r="DO11" s="2"/>
      <c r="DP11" s="2"/>
      <c r="DQ11" s="2"/>
      <c r="DR11" s="2"/>
      <c r="DS11" s="2"/>
      <c r="DT11" s="2"/>
      <c r="DU11" s="2"/>
      <c r="DV11" s="2"/>
      <c r="DW11" s="2"/>
      <c r="DX11" s="2"/>
      <c r="DY11" s="2"/>
      <c r="DZ11" s="2"/>
      <c r="EB11" s="2"/>
      <c r="ED11" s="2"/>
      <c r="EF11" s="2"/>
      <c r="EG11" s="2"/>
      <c r="EH11" s="2"/>
      <c r="EI11" s="2"/>
      <c r="EJ11" s="2"/>
      <c r="EK11" s="2"/>
      <c r="EL11" s="2"/>
      <c r="EM11" s="2"/>
      <c r="EN11" s="2"/>
      <c r="EO11" s="2"/>
      <c r="ET11" s="2"/>
      <c r="EU11" s="2"/>
    </row>
    <row r="12" customFormat="false" ht="12.8" hidden="false" customHeight="false" outlineLevel="0" collapsed="false">
      <c r="A12" s="1" t="s">
        <v>258</v>
      </c>
      <c r="D12" s="1" t="n">
        <v>322099</v>
      </c>
      <c r="E12" s="1" t="n">
        <v>137719</v>
      </c>
      <c r="F12" s="1" t="n">
        <v>99773</v>
      </c>
      <c r="G12" s="1" t="n">
        <v>87012</v>
      </c>
      <c r="H12" s="1" t="n">
        <v>168176</v>
      </c>
      <c r="I12" s="1" t="n">
        <v>352000</v>
      </c>
      <c r="J12" s="1" t="n">
        <v>150000</v>
      </c>
      <c r="K12" s="1" t="n">
        <v>115000</v>
      </c>
      <c r="L12" s="1" t="n">
        <v>94000</v>
      </c>
      <c r="M12" s="1" t="n">
        <v>122000</v>
      </c>
      <c r="N12" s="1" t="n">
        <v>105000</v>
      </c>
      <c r="O12" s="1" t="n">
        <v>351000</v>
      </c>
      <c r="P12" s="1" t="n">
        <v>123000</v>
      </c>
      <c r="Q12" s="1" t="n">
        <v>85000</v>
      </c>
      <c r="R12" s="1" t="n">
        <v>15000</v>
      </c>
      <c r="S12" s="26" t="n">
        <v>350845.94</v>
      </c>
      <c r="T12" s="24" t="n">
        <v>351339.22</v>
      </c>
      <c r="U12" s="24"/>
      <c r="V12" s="21" t="n">
        <v>12703.84</v>
      </c>
      <c r="W12" s="25" t="n">
        <v>113865.02</v>
      </c>
      <c r="X12" s="21" t="n">
        <v>113865.02</v>
      </c>
      <c r="Y12" s="21" t="n">
        <v>114284.74</v>
      </c>
      <c r="Z12" s="21" t="n">
        <v>114284.74</v>
      </c>
      <c r="AA12" s="21" t="n">
        <v>482021.5</v>
      </c>
      <c r="AB12" s="21" t="n">
        <v>482021.5</v>
      </c>
      <c r="AC12" s="21" t="n">
        <v>13292</v>
      </c>
      <c r="AD12" s="21" t="n">
        <v>93558.84</v>
      </c>
      <c r="AE12" s="21" t="n">
        <v>93558.84</v>
      </c>
      <c r="AF12" s="21" t="n">
        <v>106632.58</v>
      </c>
      <c r="AG12" s="21" t="n">
        <v>106632.58</v>
      </c>
      <c r="AH12" s="21" t="n">
        <v>264039.92</v>
      </c>
      <c r="AI12" s="21" t="n">
        <v>264039.92</v>
      </c>
      <c r="AJ12" s="21" t="n">
        <v>15190.06</v>
      </c>
      <c r="AK12" s="21" t="n">
        <v>112896.06</v>
      </c>
      <c r="AL12" s="21"/>
      <c r="AM12" s="26" t="n">
        <v>12862.58</v>
      </c>
      <c r="AN12" s="21" t="n">
        <v>113889.3</v>
      </c>
      <c r="AO12" s="21"/>
      <c r="AP12" s="21"/>
      <c r="AQ12" s="26"/>
      <c r="AR12" s="24" t="n">
        <v>112691.32</v>
      </c>
      <c r="AS12" s="24" t="n">
        <v>113940</v>
      </c>
      <c r="AT12" s="26" t="n">
        <v>114973.72</v>
      </c>
      <c r="AU12" s="26" t="n">
        <v>114973.72</v>
      </c>
      <c r="AW12" s="25" t="n">
        <v>112691.28</v>
      </c>
      <c r="AX12" s="25" t="n">
        <v>112691.28</v>
      </c>
      <c r="AY12" s="19" t="n">
        <v>112691.28</v>
      </c>
      <c r="AZ12" s="25" t="n">
        <v>113655.28</v>
      </c>
      <c r="BA12" s="23" t="n">
        <v>114923.92</v>
      </c>
      <c r="BB12" s="23" t="n">
        <v>114923.92</v>
      </c>
      <c r="BC12" s="23"/>
      <c r="BD12" s="19" t="n">
        <v>98790.08</v>
      </c>
      <c r="BE12" s="19"/>
      <c r="BF12" s="19" t="n">
        <v>91329.52</v>
      </c>
      <c r="BG12" s="19"/>
      <c r="BH12" s="19" t="n">
        <v>113740.46</v>
      </c>
      <c r="BI12" s="19"/>
      <c r="BJ12" s="19" t="n">
        <v>113780.38</v>
      </c>
      <c r="BK12" s="23"/>
      <c r="BL12" s="24" t="n">
        <v>93180.82</v>
      </c>
      <c r="BM12" s="25" t="n">
        <v>91532.8</v>
      </c>
      <c r="BN12" s="19" t="n">
        <v>91520.46</v>
      </c>
      <c r="BO12" s="25" t="n">
        <v>91532.8</v>
      </c>
      <c r="BP12" s="19" t="n">
        <v>91520.46</v>
      </c>
      <c r="BQ12" s="23" t="n">
        <v>91520.46</v>
      </c>
      <c r="BR12" s="25" t="n">
        <v>91318.94</v>
      </c>
      <c r="BS12" s="19" t="n">
        <v>91234.68</v>
      </c>
      <c r="BT12" s="25" t="n">
        <v>91424.58</v>
      </c>
      <c r="BU12" s="25"/>
      <c r="BV12" s="19" t="n">
        <v>91333.12</v>
      </c>
      <c r="BW12" s="21" t="n">
        <v>91329.52</v>
      </c>
      <c r="BX12" s="19"/>
      <c r="BY12" s="19" t="n">
        <v>91424.58</v>
      </c>
      <c r="BZ12" s="19"/>
      <c r="CA12" s="19" t="n">
        <v>91333.12</v>
      </c>
      <c r="CB12" s="21" t="n">
        <v>91329.52</v>
      </c>
      <c r="CC12" s="19"/>
      <c r="CD12" s="25"/>
      <c r="CE12" s="23" t="n">
        <v>109432.94</v>
      </c>
      <c r="CF12" s="19" t="n">
        <v>98655.16</v>
      </c>
      <c r="CG12" s="23" t="n">
        <v>195689.42</v>
      </c>
      <c r="CH12" s="19" t="n">
        <v>98655.16</v>
      </c>
      <c r="CI12" s="25" t="n">
        <v>98655.16</v>
      </c>
      <c r="CJ12" s="23" t="n">
        <v>119519.14</v>
      </c>
      <c r="CK12" s="19" t="n">
        <v>97224.08</v>
      </c>
      <c r="CL12" s="23" t="n">
        <v>102854.82</v>
      </c>
      <c r="CM12" s="23"/>
      <c r="CN12" s="19" t="n">
        <v>97792.56</v>
      </c>
      <c r="CO12" s="21" t="n">
        <v>89768.94</v>
      </c>
      <c r="CP12" s="19"/>
      <c r="CQ12" s="26"/>
      <c r="CR12" s="26"/>
      <c r="CS12" s="25" t="n">
        <v>91438.5</v>
      </c>
      <c r="CT12" s="25"/>
      <c r="CU12" s="19" t="n">
        <v>91330.74</v>
      </c>
      <c r="CV12" s="21" t="n">
        <v>91329.52</v>
      </c>
      <c r="CW12" s="19"/>
      <c r="CX12" s="25"/>
      <c r="CY12" s="23" t="n">
        <v>102854.82</v>
      </c>
      <c r="CZ12" s="19" t="n">
        <v>97803.24</v>
      </c>
      <c r="DA12" s="26"/>
      <c r="DB12" s="23" t="n">
        <v>94696.64</v>
      </c>
      <c r="DC12" s="23"/>
      <c r="DD12" s="19" t="n">
        <v>94696.64</v>
      </c>
      <c r="DF12" s="21" t="n">
        <v>91329.52</v>
      </c>
      <c r="DG12" s="19"/>
      <c r="DH12" s="24"/>
      <c r="DI12" s="25" t="n">
        <v>105231.42</v>
      </c>
      <c r="DJ12" s="25"/>
      <c r="DK12" s="19" t="n">
        <v>103049.9</v>
      </c>
      <c r="DL12" s="26" t="n">
        <v>91329.52</v>
      </c>
      <c r="DM12" s="19"/>
      <c r="DN12" s="24"/>
      <c r="DO12" s="19" t="n">
        <v>145614.94</v>
      </c>
      <c r="DP12" s="25" t="n">
        <v>122035.4</v>
      </c>
      <c r="DQ12" s="23" t="n">
        <v>122021.7</v>
      </c>
      <c r="DR12" s="23"/>
      <c r="DS12" s="19" t="n">
        <v>98790.08</v>
      </c>
      <c r="DT12" s="25" t="n">
        <v>98790.08</v>
      </c>
      <c r="DU12" s="19"/>
      <c r="DV12" s="23" t="n">
        <v>126271.66</v>
      </c>
      <c r="DW12" s="25" t="n">
        <v>98790.08</v>
      </c>
      <c r="DX12" s="21" t="n">
        <v>98790.08</v>
      </c>
      <c r="DY12" s="25"/>
      <c r="DZ12" s="26"/>
      <c r="EA12" s="19" t="n">
        <v>207258.42</v>
      </c>
      <c r="EB12" s="19" t="n">
        <v>114609.9</v>
      </c>
      <c r="ED12" s="26"/>
      <c r="EF12" s="21"/>
      <c r="EG12" s="21"/>
      <c r="EH12" s="21"/>
      <c r="EI12" s="21"/>
      <c r="EJ12" s="21"/>
      <c r="EK12" s="21"/>
      <c r="EL12" s="21"/>
      <c r="EM12" s="21"/>
      <c r="EN12" s="21"/>
      <c r="EO12" s="21"/>
      <c r="EQ12" s="21"/>
      <c r="ER12" s="21"/>
      <c r="ES12" s="21"/>
      <c r="ET12" s="21"/>
      <c r="EU12" s="21"/>
    </row>
    <row r="13" customFormat="false" ht="12.8" hidden="false" customHeight="false" outlineLevel="0" collapsed="false">
      <c r="S13" s="26"/>
      <c r="T13" s="24"/>
      <c r="U13" s="24"/>
      <c r="V13" s="21"/>
      <c r="W13" s="21"/>
      <c r="X13" s="21"/>
      <c r="Y13" s="21"/>
      <c r="Z13" s="21"/>
      <c r="AA13" s="21"/>
      <c r="AB13" s="21"/>
      <c r="AC13" s="21"/>
      <c r="AD13" s="21"/>
      <c r="AE13" s="21"/>
      <c r="AF13" s="21"/>
      <c r="AG13" s="21"/>
      <c r="AH13" s="21"/>
      <c r="AI13" s="21"/>
      <c r="AJ13" s="21"/>
      <c r="AK13" s="21"/>
      <c r="AL13" s="21"/>
      <c r="AM13" s="21"/>
      <c r="AN13" s="21"/>
      <c r="AO13" s="21"/>
      <c r="AP13" s="21"/>
      <c r="AQ13" s="26"/>
      <c r="AR13" s="24"/>
      <c r="AS13" s="24"/>
      <c r="AT13" s="26"/>
      <c r="AU13" s="26"/>
      <c r="AW13" s="25"/>
      <c r="AX13" s="25"/>
      <c r="AY13" s="19"/>
      <c r="AZ13" s="25"/>
      <c r="BA13" s="23"/>
      <c r="BB13" s="23"/>
      <c r="BC13" s="23"/>
      <c r="BD13" s="19"/>
      <c r="BE13" s="19"/>
      <c r="BF13" s="19"/>
      <c r="BG13" s="19"/>
      <c r="BH13" s="19"/>
      <c r="BI13" s="19"/>
      <c r="BJ13" s="19"/>
      <c r="BK13" s="23"/>
      <c r="BL13" s="24"/>
      <c r="BM13" s="25"/>
      <c r="BN13" s="19"/>
      <c r="BO13" s="25"/>
      <c r="BP13" s="19"/>
      <c r="BQ13" s="23"/>
      <c r="BR13" s="25"/>
      <c r="BS13" s="19"/>
      <c r="BT13" s="25"/>
      <c r="BU13" s="25"/>
      <c r="BV13" s="19"/>
      <c r="BW13" s="19"/>
      <c r="BX13" s="19"/>
      <c r="BY13" s="19"/>
      <c r="BZ13" s="19"/>
      <c r="CA13" s="19"/>
      <c r="CB13" s="19"/>
      <c r="CC13" s="19"/>
      <c r="CD13" s="25"/>
      <c r="CE13" s="23"/>
      <c r="CF13" s="19"/>
      <c r="CG13" s="23"/>
      <c r="CH13" s="19"/>
      <c r="CI13" s="25"/>
      <c r="CJ13" s="23"/>
      <c r="CK13" s="19"/>
      <c r="CL13" s="23"/>
      <c r="CM13" s="23"/>
      <c r="CN13" s="19"/>
      <c r="CO13" s="19"/>
      <c r="CP13" s="19"/>
      <c r="CQ13" s="26"/>
      <c r="CR13" s="26"/>
      <c r="CS13" s="25"/>
      <c r="CT13" s="25"/>
      <c r="CU13" s="19"/>
      <c r="CV13" s="19"/>
      <c r="CW13" s="19"/>
      <c r="CX13" s="25"/>
      <c r="CY13" s="23"/>
      <c r="CZ13" s="19"/>
      <c r="DA13" s="26"/>
      <c r="DB13" s="23"/>
      <c r="DC13" s="23"/>
      <c r="DD13" s="19"/>
      <c r="DF13" s="19"/>
      <c r="DG13" s="19"/>
      <c r="DH13" s="24"/>
      <c r="DI13" s="25"/>
      <c r="DJ13" s="25"/>
      <c r="DK13" s="19"/>
      <c r="DL13" s="19"/>
      <c r="DM13" s="19"/>
      <c r="DN13" s="24"/>
      <c r="DO13" s="19"/>
      <c r="DP13" s="25"/>
      <c r="DQ13" s="23"/>
      <c r="DR13" s="23"/>
      <c r="DS13" s="19"/>
      <c r="DT13" s="21" t="n">
        <v>88083.5</v>
      </c>
      <c r="DU13" s="21" t="n">
        <v>3912.2</v>
      </c>
      <c r="DV13" s="23"/>
      <c r="DW13" s="25"/>
      <c r="DX13" s="25"/>
      <c r="DY13" s="25"/>
      <c r="DZ13" s="26"/>
      <c r="EA13" s="19"/>
      <c r="EB13" s="19"/>
      <c r="ED13" s="26"/>
      <c r="EF13" s="21"/>
      <c r="EG13" s="21"/>
      <c r="EH13" s="21"/>
      <c r="EI13" s="21"/>
      <c r="EJ13" s="21"/>
      <c r="EK13" s="21"/>
      <c r="EL13" s="21"/>
      <c r="EM13" s="21"/>
      <c r="EN13" s="21"/>
      <c r="EO13" s="21"/>
      <c r="EQ13" s="21"/>
      <c r="ER13" s="21"/>
      <c r="ES13" s="21"/>
      <c r="ET13" s="21"/>
      <c r="EU13" s="21"/>
    </row>
    <row r="14" customFormat="false" ht="12.8" hidden="false" customHeight="false" outlineLevel="0" collapsed="false">
      <c r="A14" s="1" t="s">
        <v>259</v>
      </c>
      <c r="S14" s="26"/>
      <c r="T14" s="24"/>
      <c r="U14" s="24"/>
      <c r="V14" s="21"/>
      <c r="W14" s="21" t="n">
        <v>85685.96</v>
      </c>
      <c r="X14" s="21" t="n">
        <v>7098.44</v>
      </c>
      <c r="Y14" s="21" t="n">
        <v>93903.3</v>
      </c>
      <c r="Z14" s="21" t="n">
        <v>6292.4</v>
      </c>
      <c r="AA14" s="21" t="n">
        <v>1201866.54</v>
      </c>
      <c r="AB14" s="21" t="n">
        <v>7019.62</v>
      </c>
      <c r="AC14" s="21"/>
      <c r="AD14" s="21" t="n">
        <v>86716.16</v>
      </c>
      <c r="AE14" s="21" t="n">
        <v>7961.1</v>
      </c>
      <c r="AF14" s="21" t="n">
        <v>101725.96</v>
      </c>
      <c r="AG14" s="21" t="n">
        <v>7966.38</v>
      </c>
      <c r="AH14" s="21" t="n">
        <v>679793.24</v>
      </c>
      <c r="AI14" s="21" t="n">
        <v>5997.58</v>
      </c>
      <c r="AJ14" s="2"/>
      <c r="AK14" s="21" t="n">
        <v>97738.1</v>
      </c>
      <c r="AL14" s="21" t="n">
        <v>7750.92</v>
      </c>
      <c r="AM14" s="21"/>
      <c r="AN14" s="21" t="n">
        <v>92508.78</v>
      </c>
      <c r="AO14" s="21" t="n">
        <v>7040.9</v>
      </c>
      <c r="AP14" s="21"/>
      <c r="AQ14" s="26"/>
      <c r="AR14" s="24"/>
      <c r="AS14" s="24"/>
      <c r="AT14" s="26"/>
      <c r="AU14" s="26"/>
      <c r="AW14" s="21" t="n">
        <v>3190.88</v>
      </c>
      <c r="AX14" s="27" t="n">
        <v>93741.04</v>
      </c>
      <c r="AY14" s="19"/>
      <c r="AZ14" s="25"/>
      <c r="BA14" s="23"/>
      <c r="BB14" s="23"/>
      <c r="BC14" s="23"/>
      <c r="BD14" s="27" t="n">
        <v>88083.5</v>
      </c>
      <c r="BE14" s="27" t="n">
        <v>3157.68</v>
      </c>
      <c r="BF14" s="27" t="n">
        <v>97583.44</v>
      </c>
      <c r="BG14" s="27" t="n">
        <v>3203.02</v>
      </c>
      <c r="BH14" s="27" t="n">
        <v>99196.2</v>
      </c>
      <c r="BI14" s="27" t="n">
        <v>3295.62</v>
      </c>
      <c r="BJ14" s="19"/>
      <c r="BK14" s="23"/>
      <c r="BL14" s="24"/>
      <c r="BM14" s="25"/>
      <c r="BN14" s="19"/>
      <c r="BO14" s="25"/>
      <c r="BP14" s="19"/>
      <c r="BQ14" s="23"/>
      <c r="BR14" s="25"/>
      <c r="BS14" s="19"/>
      <c r="BT14" s="21" t="n">
        <v>79594.74</v>
      </c>
      <c r="BU14" s="21" t="n">
        <v>2552.32</v>
      </c>
      <c r="BV14" s="19"/>
      <c r="BW14" s="21" t="n">
        <v>97583.44</v>
      </c>
      <c r="BX14" s="21" t="n">
        <v>3534.9</v>
      </c>
      <c r="BY14" s="21" t="n">
        <v>90869.02</v>
      </c>
      <c r="BZ14" s="21" t="n">
        <v>2543.44</v>
      </c>
      <c r="CA14" s="19"/>
      <c r="CB14" s="21" t="n">
        <v>97583.44</v>
      </c>
      <c r="CC14" s="32" t="n">
        <v>3534.9</v>
      </c>
      <c r="CD14" s="25"/>
      <c r="CE14" s="23"/>
      <c r="CF14" s="19"/>
      <c r="CG14" s="23"/>
      <c r="CH14" s="19"/>
      <c r="CI14" s="25"/>
      <c r="CJ14" s="23"/>
      <c r="CK14" s="19"/>
      <c r="CL14" s="21" t="n">
        <v>126827.36</v>
      </c>
      <c r="CM14" s="21" t="n">
        <v>4303.3</v>
      </c>
      <c r="CN14" s="21" t="n">
        <v>110385.66</v>
      </c>
      <c r="CO14" s="21" t="n">
        <v>77149.22</v>
      </c>
      <c r="CP14" s="21" t="n">
        <v>6554.92</v>
      </c>
      <c r="CQ14" s="26"/>
      <c r="CR14" s="26"/>
      <c r="CS14" s="21" t="n">
        <v>81975.82</v>
      </c>
      <c r="CT14" s="21" t="n">
        <v>2555.28</v>
      </c>
      <c r="CU14" s="21" t="n">
        <v>78729.08</v>
      </c>
      <c r="CV14" s="21" t="n">
        <v>97583.44</v>
      </c>
      <c r="CW14" s="32" t="n">
        <v>3534.9</v>
      </c>
      <c r="CX14" s="25"/>
      <c r="CY14" s="23"/>
      <c r="CZ14" s="19"/>
      <c r="DA14" s="26"/>
      <c r="DB14" s="27" t="n">
        <v>79594.06</v>
      </c>
      <c r="DC14" s="27" t="n">
        <v>2607.6</v>
      </c>
      <c r="DD14" s="19"/>
      <c r="DF14" s="21" t="n">
        <v>97583.44</v>
      </c>
      <c r="DG14" s="32" t="n">
        <v>3534.9</v>
      </c>
      <c r="DH14" s="24"/>
      <c r="DI14" s="27" t="n">
        <v>90855.52</v>
      </c>
      <c r="DJ14" s="27" t="n">
        <v>2599.28</v>
      </c>
      <c r="DK14" s="19"/>
      <c r="DL14" s="21" t="n">
        <v>97583.44</v>
      </c>
      <c r="DM14" s="32" t="n">
        <v>3534.9</v>
      </c>
      <c r="DN14" s="24"/>
      <c r="DO14" s="19"/>
      <c r="DP14" s="25"/>
      <c r="DQ14" s="21" t="n">
        <v>113162.5</v>
      </c>
      <c r="DR14" s="21" t="n">
        <v>2992.3</v>
      </c>
      <c r="DS14" s="21" t="n">
        <v>88083.5</v>
      </c>
      <c r="DT14" s="21"/>
      <c r="DU14" s="21"/>
      <c r="DV14" s="23"/>
      <c r="DW14" s="25"/>
      <c r="DX14" s="25"/>
      <c r="DY14" s="25"/>
      <c r="DZ14" s="26"/>
      <c r="EA14" s="19"/>
      <c r="EB14" s="19"/>
      <c r="ED14" s="26"/>
      <c r="EF14" s="21"/>
      <c r="EG14" s="21"/>
      <c r="EH14" s="21"/>
      <c r="EI14" s="21"/>
      <c r="EJ14" s="21"/>
      <c r="EK14" s="21"/>
      <c r="EL14" s="21"/>
      <c r="EM14" s="21"/>
      <c r="EN14" s="21"/>
      <c r="EO14" s="21"/>
      <c r="EQ14" s="21"/>
      <c r="ER14" s="21"/>
      <c r="ES14" s="21"/>
      <c r="ET14" s="21"/>
      <c r="EU14" s="21"/>
    </row>
    <row r="15" customFormat="false" ht="12.8" hidden="false" customHeight="false" outlineLevel="0" collapsed="false">
      <c r="DO15" s="2"/>
    </row>
    <row r="16" customFormat="false" ht="12.8" hidden="false" customHeight="false" outlineLevel="0" collapsed="false">
      <c r="A16" s="1" t="s">
        <v>260</v>
      </c>
      <c r="BH16" s="27"/>
      <c r="DI16" s="27"/>
      <c r="DO16" s="2"/>
    </row>
    <row r="17" customFormat="false" ht="12.8" hidden="false" customHeight="false" outlineLevel="0" collapsed="false">
      <c r="A17" s="1" t="s">
        <v>261</v>
      </c>
      <c r="W17" s="21" t="n">
        <v>681523.18</v>
      </c>
      <c r="X17" s="21" t="n">
        <v>681920.94</v>
      </c>
      <c r="Y17" s="21" t="n">
        <v>681526.92</v>
      </c>
      <c r="Z17" s="21" t="n">
        <v>681924.84</v>
      </c>
      <c r="AA17" s="21" t="n">
        <v>1009491.26</v>
      </c>
      <c r="AB17" s="21" t="n">
        <v>1093477.58</v>
      </c>
      <c r="AD17" s="21" t="n">
        <v>670295.62</v>
      </c>
      <c r="AE17" s="21" t="n">
        <v>675995.8</v>
      </c>
      <c r="AF17" s="21" t="n">
        <v>670344.74</v>
      </c>
      <c r="AG17" s="21" t="n">
        <v>675907.32</v>
      </c>
      <c r="AH17" s="21" t="n">
        <v>983349.9</v>
      </c>
      <c r="AI17" s="21" t="n">
        <v>1061537.5</v>
      </c>
      <c r="AJ17" s="2"/>
      <c r="AK17" s="21" t="n">
        <v>1105052.8</v>
      </c>
      <c r="AL17" s="21"/>
      <c r="AN17" s="21" t="n">
        <v>681494.2</v>
      </c>
      <c r="AW17" s="21" t="n">
        <v>677620.38</v>
      </c>
      <c r="AX17" s="21" t="n">
        <v>675835.26</v>
      </c>
      <c r="AY17" s="22"/>
      <c r="AZ17" s="22" t="n">
        <v>675838.82</v>
      </c>
      <c r="BA17" s="21" t="n">
        <v>675705.26</v>
      </c>
      <c r="BB17" s="21" t="n">
        <v>675705.86</v>
      </c>
      <c r="BC17" s="21"/>
      <c r="BD17" s="27" t="n">
        <v>675108.9</v>
      </c>
      <c r="BE17" s="27" t="n">
        <v>676377.66</v>
      </c>
      <c r="BF17" s="21" t="n">
        <v>666626.74</v>
      </c>
      <c r="BG17" s="27" t="n">
        <v>668932.26</v>
      </c>
      <c r="BH17" s="22" t="n">
        <v>675760.32</v>
      </c>
      <c r="BI17" s="27" t="n">
        <v>677524.82</v>
      </c>
      <c r="BJ17" s="22" t="n">
        <v>669452.3</v>
      </c>
      <c r="BK17" s="21"/>
      <c r="BM17" s="22" t="n">
        <v>660258.08</v>
      </c>
      <c r="BN17" s="22"/>
      <c r="BO17" s="22" t="n">
        <v>653941.86</v>
      </c>
      <c r="BP17" s="22"/>
      <c r="BQ17" s="21" t="n">
        <v>658932.82</v>
      </c>
      <c r="BR17" s="22" t="n">
        <v>650875.02</v>
      </c>
      <c r="BS17" s="22"/>
      <c r="BT17" s="22" t="n">
        <v>652385.48</v>
      </c>
      <c r="BU17" s="21" t="n">
        <v>655946.28</v>
      </c>
      <c r="BV17" s="21" t="n">
        <v>652739.54</v>
      </c>
      <c r="BW17" s="21"/>
      <c r="BX17" s="21"/>
      <c r="BY17" s="22" t="n">
        <v>656715.68</v>
      </c>
      <c r="BZ17" s="21" t="n">
        <v>654814.66</v>
      </c>
      <c r="CA17" s="22" t="n">
        <v>652739.54</v>
      </c>
      <c r="CB17" s="22"/>
      <c r="CC17" s="22"/>
      <c r="CD17" s="22"/>
      <c r="CE17" s="21" t="n">
        <v>658045.8</v>
      </c>
      <c r="CF17" s="21" t="n">
        <v>652442.64</v>
      </c>
      <c r="CG17" s="21" t="n">
        <v>652845.92</v>
      </c>
      <c r="CH17" s="21"/>
      <c r="CI17" s="22" t="n">
        <v>659215.38</v>
      </c>
      <c r="CJ17" s="21" t="n">
        <v>651742.22</v>
      </c>
      <c r="CK17" s="21"/>
      <c r="CL17" s="21" t="n">
        <v>652291.7</v>
      </c>
      <c r="CM17" s="21" t="n">
        <v>655889.04</v>
      </c>
      <c r="CN17" s="22" t="n">
        <v>652442.64</v>
      </c>
      <c r="CO17" s="22"/>
      <c r="CP17" s="21"/>
      <c r="CS17" s="22" t="n">
        <v>652385.48</v>
      </c>
      <c r="CT17" s="21" t="n">
        <v>655946.28</v>
      </c>
      <c r="CU17" s="21" t="n">
        <v>652739.46</v>
      </c>
      <c r="CV17" s="21"/>
      <c r="CW17" s="21"/>
      <c r="CX17" s="22"/>
      <c r="CY17" s="21" t="n">
        <v>652291.7</v>
      </c>
      <c r="CZ17" s="22" t="n">
        <v>652440.98</v>
      </c>
      <c r="DB17" s="21" t="n">
        <v>652385.48</v>
      </c>
      <c r="DC17" s="27" t="n">
        <v>655946.28</v>
      </c>
      <c r="DD17" s="22" t="n">
        <v>652385.48</v>
      </c>
      <c r="DF17" s="22"/>
      <c r="DG17" s="22"/>
      <c r="DI17" s="22" t="n">
        <v>651572.04</v>
      </c>
      <c r="DJ17" s="27" t="n">
        <v>650178.52</v>
      </c>
      <c r="DK17" s="21" t="n">
        <v>4302122.84</v>
      </c>
      <c r="DL17" s="21"/>
      <c r="DM17" s="21"/>
      <c r="DO17" s="22" t="n">
        <v>1075440.7</v>
      </c>
      <c r="DP17" s="22" t="n">
        <v>1022497.9</v>
      </c>
      <c r="DQ17" s="21" t="n">
        <v>1022917.74</v>
      </c>
      <c r="DR17" s="21" t="n">
        <v>1021812</v>
      </c>
      <c r="DS17" s="21" t="n">
        <v>675108.9</v>
      </c>
      <c r="DT17" s="21" t="n">
        <v>675108.9</v>
      </c>
      <c r="DU17" s="21" t="n">
        <v>676380.02</v>
      </c>
      <c r="DV17" s="21" t="n">
        <v>1021815.2</v>
      </c>
      <c r="DW17" s="21" t="n">
        <v>675108.9</v>
      </c>
      <c r="DX17" s="21"/>
      <c r="DY17" s="21"/>
      <c r="EB17" s="33" t="n">
        <v>675705.54</v>
      </c>
    </row>
    <row r="18" customFormat="false" ht="12.8" hidden="false" customHeight="false" outlineLevel="0" collapsed="false">
      <c r="A18" s="1" t="s">
        <v>262</v>
      </c>
      <c r="D18" s="1" t="n">
        <v>276809</v>
      </c>
      <c r="E18" s="1" t="n">
        <v>232509</v>
      </c>
      <c r="F18" s="1" t="n">
        <v>230108</v>
      </c>
      <c r="G18" s="1" t="n">
        <v>224249</v>
      </c>
      <c r="H18" s="1" t="n">
        <v>219022</v>
      </c>
      <c r="I18" s="1" t="n">
        <v>276000</v>
      </c>
      <c r="J18" s="1" t="n">
        <v>233000</v>
      </c>
      <c r="K18" s="1" t="n">
        <v>230000</v>
      </c>
      <c r="L18" s="1" t="n">
        <v>224000</v>
      </c>
      <c r="M18" s="1" t="n">
        <v>219000</v>
      </c>
      <c r="N18" s="1" t="n">
        <v>207000</v>
      </c>
      <c r="O18" s="1" t="n">
        <v>276000</v>
      </c>
      <c r="P18" s="1" t="n">
        <v>230000</v>
      </c>
      <c r="Q18" s="1" t="n">
        <v>232000</v>
      </c>
      <c r="R18" s="1" t="n">
        <v>47000</v>
      </c>
      <c r="S18" s="19" t="n">
        <v>291922.74</v>
      </c>
      <c r="T18" s="19" t="n">
        <v>276087.16</v>
      </c>
      <c r="U18" s="19"/>
      <c r="V18" s="21" t="n">
        <v>47959.86</v>
      </c>
      <c r="W18" s="25" t="n">
        <v>230315.44</v>
      </c>
      <c r="X18" s="21" t="n">
        <v>230315.44</v>
      </c>
      <c r="Y18" s="21" t="n">
        <v>231245.36</v>
      </c>
      <c r="Z18" s="21" t="n">
        <v>231245.36</v>
      </c>
      <c r="AA18" s="21" t="n">
        <v>245387</v>
      </c>
      <c r="AB18" s="21" t="n">
        <v>245387</v>
      </c>
      <c r="AC18" s="21" t="n">
        <v>49513.36</v>
      </c>
      <c r="AD18" s="21" t="n">
        <v>205349.16</v>
      </c>
      <c r="AE18" s="21" t="n">
        <v>205349.16</v>
      </c>
      <c r="AF18" s="21" t="n">
        <v>202659</v>
      </c>
      <c r="AG18" s="21" t="n">
        <v>202659</v>
      </c>
      <c r="AH18" s="21" t="n">
        <v>171804.92</v>
      </c>
      <c r="AI18" s="21" t="n">
        <v>171804.92</v>
      </c>
      <c r="AJ18" s="21" t="n">
        <v>53667.46</v>
      </c>
      <c r="AK18" s="21" t="n">
        <v>301179.86</v>
      </c>
      <c r="AL18" s="21"/>
      <c r="AM18" s="26" t="n">
        <v>47976.58</v>
      </c>
      <c r="AN18" s="21" t="n">
        <v>230301.72</v>
      </c>
      <c r="AO18" s="21"/>
      <c r="AP18" s="21"/>
      <c r="AQ18" s="19"/>
      <c r="AR18" s="19" t="n">
        <v>231020.72</v>
      </c>
      <c r="AS18" s="19" t="n">
        <v>233574.76</v>
      </c>
      <c r="AT18" s="19" t="n">
        <v>230461.84</v>
      </c>
      <c r="AU18" s="19" t="n">
        <v>230461.84</v>
      </c>
      <c r="AW18" s="21" t="n">
        <v>231020.72</v>
      </c>
      <c r="AX18" s="21" t="n">
        <v>231020.72</v>
      </c>
      <c r="AY18" s="21"/>
      <c r="AZ18" s="22" t="n">
        <v>233574.36</v>
      </c>
      <c r="BA18" s="21" t="n">
        <v>230314.66</v>
      </c>
      <c r="BB18" s="21" t="n">
        <v>230314.66</v>
      </c>
      <c r="BC18" s="21"/>
      <c r="BD18" s="21" t="n">
        <v>218449.8</v>
      </c>
      <c r="BE18" s="21"/>
      <c r="BF18" s="21" t="n">
        <v>206964.42</v>
      </c>
      <c r="BG18" s="21"/>
      <c r="BH18" s="21" t="n">
        <v>233548.58</v>
      </c>
      <c r="BI18" s="21"/>
      <c r="BJ18" s="21" t="n">
        <v>233391.84</v>
      </c>
      <c r="BK18" s="21"/>
      <c r="BL18" s="22" t="n">
        <v>181316.08</v>
      </c>
      <c r="BM18" s="22" t="n">
        <v>138755.2</v>
      </c>
      <c r="BN18" s="22"/>
      <c r="BO18" s="22" t="n">
        <v>136754.14</v>
      </c>
      <c r="BP18" s="22"/>
      <c r="BQ18" s="21" t="n">
        <v>137122.82</v>
      </c>
      <c r="BR18" s="22" t="n">
        <v>138765.9</v>
      </c>
      <c r="BS18" s="22"/>
      <c r="BT18" s="22" t="n">
        <v>138749.42</v>
      </c>
      <c r="BU18" s="22"/>
      <c r="BV18" s="21" t="n">
        <v>136747.3</v>
      </c>
      <c r="BW18" s="21" t="n">
        <v>206964.42</v>
      </c>
      <c r="BX18" s="21"/>
      <c r="BY18" s="21" t="n">
        <v>136755.36</v>
      </c>
      <c r="BZ18" s="21"/>
      <c r="CA18" s="21" t="n">
        <v>136747.1</v>
      </c>
      <c r="CB18" s="21" t="n">
        <v>206964.42</v>
      </c>
      <c r="CC18" s="21"/>
      <c r="CD18" s="22"/>
      <c r="CE18" s="21" t="n">
        <v>193058.7</v>
      </c>
      <c r="CF18" s="21" t="n">
        <v>184915.46</v>
      </c>
      <c r="CG18" s="21" t="n">
        <v>195986.04</v>
      </c>
      <c r="CH18" s="21"/>
      <c r="CI18" s="22" t="n">
        <v>186893.12</v>
      </c>
      <c r="CJ18" s="21" t="n">
        <v>192705.6</v>
      </c>
      <c r="CK18" s="21"/>
      <c r="CL18" s="21" t="n">
        <v>192304.8</v>
      </c>
      <c r="CM18" s="21"/>
      <c r="CN18" s="21" t="n">
        <v>184915.46</v>
      </c>
      <c r="CO18" s="21" t="n">
        <v>222963.78</v>
      </c>
      <c r="CP18" s="22"/>
      <c r="CS18" s="22" t="n">
        <v>137488.48</v>
      </c>
      <c r="CT18" s="22"/>
      <c r="CU18" s="21" t="n">
        <v>138110.16</v>
      </c>
      <c r="CV18" s="21" t="n">
        <v>206964.42</v>
      </c>
      <c r="CW18" s="21"/>
      <c r="CX18" s="22"/>
      <c r="CY18" s="21" t="n">
        <v>192303.04</v>
      </c>
      <c r="CZ18" s="22" t="n">
        <v>184891.22</v>
      </c>
      <c r="DB18" s="21" t="n">
        <v>141479.26</v>
      </c>
      <c r="DC18" s="21"/>
      <c r="DD18" s="21" t="n">
        <v>141479.26</v>
      </c>
      <c r="DF18" s="21" t="n">
        <v>206964.42</v>
      </c>
      <c r="DG18" s="21"/>
      <c r="DI18" s="22" t="n">
        <v>295877.52</v>
      </c>
      <c r="DJ18" s="22"/>
      <c r="DK18" s="21" t="n">
        <v>307883.46</v>
      </c>
      <c r="DL18" s="26" t="n">
        <v>206964.42</v>
      </c>
      <c r="DM18" s="21"/>
      <c r="DO18" s="22" t="n">
        <v>299866.64</v>
      </c>
      <c r="DP18" s="22" t="n">
        <v>298784.7</v>
      </c>
      <c r="DQ18" s="21" t="n">
        <v>298513.26</v>
      </c>
      <c r="DR18" s="21"/>
      <c r="DS18" s="21" t="n">
        <v>218503.64</v>
      </c>
      <c r="DT18" s="25" t="n">
        <v>218449.8</v>
      </c>
      <c r="DU18" s="21"/>
      <c r="DV18" s="21" t="n">
        <v>297440.88</v>
      </c>
      <c r="DW18" s="21" t="n">
        <v>218494.5</v>
      </c>
      <c r="DX18" s="21" t="n">
        <v>218449.8</v>
      </c>
      <c r="DY18" s="21"/>
      <c r="EB18" s="33" t="n">
        <v>227636.76</v>
      </c>
      <c r="EJ18" s="21"/>
    </row>
    <row r="19" customFormat="false" ht="12.8" hidden="false" customHeight="false" outlineLevel="0" collapsed="false">
      <c r="A19" s="1" t="s">
        <v>263</v>
      </c>
      <c r="D19" s="1" t="n">
        <v>3268093</v>
      </c>
      <c r="E19" s="1" t="n">
        <v>681995</v>
      </c>
      <c r="F19" s="1" t="n">
        <v>681989</v>
      </c>
      <c r="G19" s="1" t="n">
        <v>664469</v>
      </c>
      <c r="H19" s="1" t="n">
        <v>660555</v>
      </c>
      <c r="I19" s="1" t="n">
        <v>3268000</v>
      </c>
      <c r="J19" s="1" t="n">
        <v>682000</v>
      </c>
      <c r="K19" s="1" t="n">
        <v>678000</v>
      </c>
      <c r="L19" s="1" t="n">
        <v>664000</v>
      </c>
      <c r="M19" s="1" t="n">
        <v>661000</v>
      </c>
      <c r="N19" s="1" t="n">
        <v>653000</v>
      </c>
      <c r="O19" s="1" t="n">
        <v>3268000</v>
      </c>
      <c r="P19" s="1" t="n">
        <v>682000</v>
      </c>
      <c r="Q19" s="1" t="n">
        <v>663000</v>
      </c>
      <c r="R19" s="1" t="n">
        <v>383000</v>
      </c>
      <c r="S19" s="19" t="n">
        <v>3436186.5</v>
      </c>
      <c r="T19" s="19" t="n">
        <v>3265722.1</v>
      </c>
      <c r="U19" s="19"/>
      <c r="V19" s="21" t="n">
        <v>385607.16</v>
      </c>
      <c r="W19" s="21" t="n">
        <v>673928.18</v>
      </c>
      <c r="X19" s="19"/>
      <c r="Y19" s="19"/>
      <c r="Z19" s="19"/>
      <c r="AA19" s="19"/>
      <c r="AB19" s="19"/>
      <c r="AC19" s="21" t="n">
        <v>386204.06</v>
      </c>
      <c r="AD19" s="21" t="n">
        <v>660351.4</v>
      </c>
      <c r="AE19" s="19"/>
      <c r="AF19" s="19"/>
      <c r="AG19" s="19"/>
      <c r="AH19" s="19"/>
      <c r="AI19" s="19"/>
      <c r="AJ19" s="21" t="n">
        <v>487770.76</v>
      </c>
      <c r="AK19" s="21" t="n">
        <v>1055189.96</v>
      </c>
      <c r="AL19" s="21"/>
      <c r="AM19" s="21" t="n">
        <v>385597.68</v>
      </c>
      <c r="AN19" s="21" t="n">
        <v>673895.38</v>
      </c>
      <c r="AO19" s="19"/>
      <c r="AP19" s="19"/>
      <c r="AQ19" s="20"/>
      <c r="AR19" s="19" t="n">
        <v>680969.48</v>
      </c>
      <c r="AS19" s="19" t="n">
        <v>680969.72</v>
      </c>
      <c r="AT19" s="19" t="n">
        <v>680816.56</v>
      </c>
      <c r="AU19" s="19" t="n">
        <v>680816.56</v>
      </c>
      <c r="AX19" s="21" t="n">
        <v>680969.18</v>
      </c>
      <c r="AY19" s="24"/>
      <c r="AZ19" s="24" t="n">
        <v>680969.42</v>
      </c>
      <c r="BA19" s="26" t="n">
        <v>680770.64</v>
      </c>
      <c r="BB19" s="26" t="n">
        <v>680770.64</v>
      </c>
      <c r="BC19" s="26"/>
      <c r="BD19" s="21" t="n">
        <v>681269.86</v>
      </c>
      <c r="BE19" s="21"/>
      <c r="BF19" s="22" t="n">
        <v>669269.48</v>
      </c>
      <c r="BG19" s="22"/>
      <c r="BH19" s="22" t="n">
        <v>681194.04</v>
      </c>
      <c r="BI19" s="22"/>
      <c r="BJ19" s="22" t="n">
        <v>669321.3</v>
      </c>
      <c r="BK19" s="26"/>
      <c r="BL19" s="24" t="n">
        <v>736962.46</v>
      </c>
      <c r="BM19" s="24" t="n">
        <v>725891</v>
      </c>
      <c r="BN19" s="24"/>
      <c r="BO19" s="24" t="n">
        <v>732281.16</v>
      </c>
      <c r="BP19" s="24"/>
      <c r="BQ19" s="26" t="n">
        <v>737686.8</v>
      </c>
      <c r="BR19" s="24" t="n">
        <v>722666.38</v>
      </c>
      <c r="BS19" s="24"/>
      <c r="BT19" s="24" t="n">
        <v>726460.06</v>
      </c>
      <c r="BU19" s="24"/>
      <c r="BV19" s="26" t="n">
        <v>738384.28</v>
      </c>
      <c r="BW19" s="21" t="n">
        <v>669269.48</v>
      </c>
      <c r="BX19" s="26"/>
      <c r="BY19" s="22" t="n">
        <v>731433.74</v>
      </c>
      <c r="BZ19" s="22"/>
      <c r="CA19" s="22" t="n">
        <v>738384.28</v>
      </c>
      <c r="CB19" s="21" t="n">
        <v>669269.48</v>
      </c>
      <c r="CC19" s="22"/>
      <c r="CD19" s="24"/>
      <c r="CE19" s="26" t="n">
        <v>658747.64</v>
      </c>
      <c r="CF19" s="21" t="n">
        <v>652365.14</v>
      </c>
      <c r="CG19" s="26" t="n">
        <v>655186.6</v>
      </c>
      <c r="CH19" s="26"/>
      <c r="CI19" s="24" t="n">
        <v>654827.38</v>
      </c>
      <c r="CJ19" s="26" t="n">
        <v>646463.52</v>
      </c>
      <c r="CK19" s="26"/>
      <c r="CL19" s="21" t="n">
        <v>652954.98</v>
      </c>
      <c r="CM19" s="21"/>
      <c r="CN19" s="24" t="n">
        <v>652365.14</v>
      </c>
      <c r="CO19" s="21" t="n">
        <v>669626.76</v>
      </c>
      <c r="CS19" s="24" t="n">
        <v>726460.1</v>
      </c>
      <c r="CT19" s="24"/>
      <c r="CU19" s="26" t="n">
        <v>738383.76</v>
      </c>
      <c r="CV19" s="21" t="n">
        <v>669269.48</v>
      </c>
      <c r="CW19" s="26"/>
      <c r="CX19" s="24"/>
      <c r="CY19" s="26" t="n">
        <v>652954.96</v>
      </c>
      <c r="CZ19" s="24" t="n">
        <v>653143.14</v>
      </c>
      <c r="DB19" s="26" t="n">
        <v>731839.84</v>
      </c>
      <c r="DC19" s="26"/>
      <c r="DD19" s="22" t="n">
        <v>731839.84</v>
      </c>
      <c r="DF19" s="21" t="n">
        <v>669269.48</v>
      </c>
      <c r="DG19" s="22"/>
      <c r="DI19" s="24" t="n">
        <v>697359.6</v>
      </c>
      <c r="DJ19" s="24"/>
      <c r="DK19" s="22" t="n">
        <v>771673.64</v>
      </c>
      <c r="DL19" s="21" t="n">
        <v>669269.48</v>
      </c>
      <c r="DM19" s="22"/>
      <c r="DO19" s="24" t="n">
        <v>843845.64</v>
      </c>
      <c r="DP19" s="24" t="n">
        <v>804660.78</v>
      </c>
      <c r="DQ19" s="26" t="n">
        <v>809424.74</v>
      </c>
      <c r="DR19" s="26"/>
      <c r="DS19" s="26" t="n">
        <v>681269.86</v>
      </c>
      <c r="DT19" s="21" t="n">
        <v>681269.86</v>
      </c>
      <c r="DU19" s="26"/>
      <c r="DV19" s="26" t="n">
        <v>809545.24</v>
      </c>
      <c r="DW19" s="21" t="n">
        <v>681269.86</v>
      </c>
      <c r="DX19" s="21" t="n">
        <v>681269.86</v>
      </c>
      <c r="DY19" s="21"/>
      <c r="EB19" s="34" t="n">
        <v>680633.78</v>
      </c>
      <c r="EJ19" s="21"/>
    </row>
    <row r="20" customFormat="false" ht="12.8" hidden="false" customHeight="false" outlineLevel="0" collapsed="false">
      <c r="S20" s="19"/>
      <c r="T20" s="19"/>
      <c r="U20" s="19"/>
      <c r="V20" s="21"/>
      <c r="W20" s="21"/>
      <c r="X20" s="19"/>
      <c r="Y20" s="19"/>
      <c r="Z20" s="19"/>
      <c r="AA20" s="19"/>
      <c r="AB20" s="19"/>
      <c r="AC20" s="21"/>
      <c r="AD20" s="21"/>
      <c r="AE20" s="19"/>
      <c r="AF20" s="19"/>
      <c r="AG20" s="19"/>
      <c r="AH20" s="19"/>
      <c r="AI20" s="19"/>
      <c r="AJ20" s="21"/>
      <c r="AK20" s="21"/>
      <c r="AL20" s="21"/>
      <c r="AM20" s="21"/>
      <c r="AN20" s="21"/>
      <c r="AO20" s="19"/>
      <c r="AP20" s="19"/>
      <c r="AQ20" s="20"/>
      <c r="AR20" s="19"/>
      <c r="AS20" s="19"/>
      <c r="AT20" s="19"/>
      <c r="AU20" s="19"/>
      <c r="AX20" s="21"/>
      <c r="AY20" s="24"/>
      <c r="AZ20" s="24"/>
      <c r="BA20" s="26"/>
      <c r="BB20" s="26"/>
      <c r="BC20" s="26"/>
      <c r="BD20" s="21"/>
      <c r="BE20" s="21"/>
      <c r="BF20" s="22"/>
      <c r="BG20" s="22"/>
      <c r="BH20" s="22"/>
      <c r="BI20" s="22"/>
      <c r="BJ20" s="22"/>
      <c r="BK20" s="26"/>
      <c r="BL20" s="24"/>
      <c r="BM20" s="24"/>
      <c r="BN20" s="24"/>
      <c r="BO20" s="24"/>
      <c r="BP20" s="24"/>
      <c r="BQ20" s="26"/>
      <c r="BR20" s="24"/>
      <c r="BS20" s="24"/>
      <c r="BT20" s="24"/>
      <c r="BU20" s="24"/>
      <c r="BV20" s="26"/>
      <c r="BW20" s="21"/>
      <c r="BX20" s="26"/>
      <c r="BY20" s="22"/>
      <c r="BZ20" s="22"/>
      <c r="CA20" s="22"/>
      <c r="CB20" s="21"/>
      <c r="CC20" s="22"/>
      <c r="CD20" s="24"/>
      <c r="CE20" s="26"/>
      <c r="CF20" s="21"/>
      <c r="CG20" s="26"/>
      <c r="CH20" s="26"/>
      <c r="CI20" s="24"/>
      <c r="CJ20" s="26"/>
      <c r="CK20" s="26"/>
      <c r="CL20" s="21"/>
      <c r="CM20" s="21"/>
      <c r="CN20" s="24"/>
      <c r="CO20" s="21"/>
      <c r="CS20" s="24"/>
      <c r="CT20" s="24"/>
      <c r="CU20" s="26"/>
      <c r="CV20" s="21"/>
      <c r="CW20" s="26"/>
      <c r="CX20" s="24"/>
      <c r="CY20" s="26"/>
      <c r="CZ20" s="24"/>
      <c r="DB20" s="26"/>
      <c r="DC20" s="26"/>
      <c r="DD20" s="22"/>
      <c r="DF20" s="21"/>
      <c r="DG20" s="22"/>
      <c r="DI20" s="24"/>
      <c r="DJ20" s="24"/>
      <c r="DK20" s="22"/>
      <c r="DL20" s="21"/>
      <c r="DM20" s="22"/>
      <c r="DO20" s="24"/>
      <c r="DP20" s="24"/>
      <c r="DQ20" s="26"/>
      <c r="DR20" s="26"/>
      <c r="DS20" s="26"/>
      <c r="DT20" s="21"/>
      <c r="DU20" s="26"/>
      <c r="DV20" s="26"/>
      <c r="DW20" s="21"/>
      <c r="DX20" s="21"/>
      <c r="DY20" s="21"/>
      <c r="EB20" s="34"/>
      <c r="EJ20" s="21"/>
    </row>
    <row r="21" customFormat="false" ht="12.8" hidden="false" customHeight="false" outlineLevel="0" collapsed="false">
      <c r="A21" s="1" t="s">
        <v>264</v>
      </c>
      <c r="S21" s="19"/>
      <c r="T21" s="19"/>
      <c r="U21" s="19"/>
      <c r="V21" s="21"/>
      <c r="W21" s="21" t="n">
        <v>978974.5</v>
      </c>
      <c r="X21" s="21" t="n">
        <v>369264.28</v>
      </c>
      <c r="Y21" s="19"/>
      <c r="Z21" s="19"/>
      <c r="AA21" s="19"/>
      <c r="AB21" s="19"/>
      <c r="AC21" s="21"/>
      <c r="AD21" s="21" t="n">
        <v>1315616.78</v>
      </c>
      <c r="AE21" s="21" t="n">
        <v>348919.64</v>
      </c>
      <c r="AF21" s="19"/>
      <c r="AG21" s="19"/>
      <c r="AH21" s="19"/>
      <c r="AI21" s="19"/>
      <c r="AJ21" s="21"/>
      <c r="AK21" s="21" t="n">
        <v>1414194.34</v>
      </c>
      <c r="AL21" s="21" t="n">
        <v>463191.54</v>
      </c>
      <c r="AM21" s="21"/>
      <c r="AN21" s="21" t="n">
        <v>981487.28</v>
      </c>
      <c r="AO21" s="21" t="n">
        <v>367547.84</v>
      </c>
      <c r="AP21" s="19"/>
      <c r="AQ21" s="20"/>
      <c r="AR21" s="19"/>
      <c r="AS21" s="19"/>
      <c r="AT21" s="19"/>
      <c r="AU21" s="19"/>
      <c r="AW21" s="21" t="n">
        <v>340720.4</v>
      </c>
      <c r="AX21" s="21" t="n">
        <v>901661.52</v>
      </c>
      <c r="AY21" s="24"/>
      <c r="AZ21" s="24"/>
      <c r="BA21" s="21" t="n">
        <v>796972.74</v>
      </c>
      <c r="BB21" s="26"/>
      <c r="BC21" s="26"/>
      <c r="BD21" s="21" t="n">
        <v>849945.78</v>
      </c>
      <c r="BE21" s="21" t="n">
        <v>320494</v>
      </c>
      <c r="BF21" s="21" t="n">
        <v>864030.18</v>
      </c>
      <c r="BG21" s="21" t="n">
        <v>296645.32</v>
      </c>
      <c r="BH21" s="21" t="n">
        <v>862302.14</v>
      </c>
      <c r="BI21" s="21" t="n">
        <v>349227.9</v>
      </c>
      <c r="BJ21" s="21" t="n">
        <v>867068.36</v>
      </c>
      <c r="BK21" s="26"/>
      <c r="BL21" s="24"/>
      <c r="BM21" s="24"/>
      <c r="BN21" s="24"/>
      <c r="BO21" s="24"/>
      <c r="BP21" s="24"/>
      <c r="BQ21" s="26"/>
      <c r="BR21" s="24"/>
      <c r="BS21" s="24"/>
      <c r="BT21" s="21" t="n">
        <v>817755.96</v>
      </c>
      <c r="BU21" s="21" t="n">
        <v>219076.92</v>
      </c>
      <c r="BV21" s="2"/>
      <c r="BW21" s="21" t="n">
        <v>864030.18</v>
      </c>
      <c r="BX21" s="21" t="n">
        <v>300806.86</v>
      </c>
      <c r="BY21" s="21" t="n">
        <v>823936.44</v>
      </c>
      <c r="BZ21" s="21" t="n">
        <v>213123.84</v>
      </c>
      <c r="CA21" s="2"/>
      <c r="CB21" s="21" t="n">
        <v>864030.18</v>
      </c>
      <c r="CC21" s="32" t="n">
        <v>300806.86</v>
      </c>
      <c r="CD21" s="24"/>
      <c r="CE21" s="26"/>
      <c r="CF21" s="21"/>
      <c r="CG21" s="26"/>
      <c r="CH21" s="26"/>
      <c r="CI21" s="24"/>
      <c r="CJ21" s="26"/>
      <c r="CK21" s="26"/>
      <c r="CL21" s="21" t="n">
        <v>772508.32</v>
      </c>
      <c r="CM21" s="21" t="n">
        <v>267819.92</v>
      </c>
      <c r="CN21" s="2"/>
      <c r="CO21" s="21" t="n">
        <v>785705.64</v>
      </c>
      <c r="CP21" s="21" t="n">
        <v>337135.74</v>
      </c>
      <c r="CS21" s="21" t="n">
        <v>811675.22</v>
      </c>
      <c r="CT21" s="21" t="n">
        <v>219100.06</v>
      </c>
      <c r="CU21" s="2"/>
      <c r="CV21" s="21" t="n">
        <v>864030.18</v>
      </c>
      <c r="CW21" s="32" t="n">
        <v>300806.86</v>
      </c>
      <c r="CX21" s="24"/>
      <c r="CY21" s="26"/>
      <c r="CZ21" s="24"/>
      <c r="DB21" s="21" t="n">
        <v>817755.96</v>
      </c>
      <c r="DC21" s="21" t="n">
        <v>218965.4</v>
      </c>
      <c r="DD21" s="2"/>
      <c r="DF21" s="21" t="n">
        <v>864030.18</v>
      </c>
      <c r="DG21" s="32" t="n">
        <v>300806.86</v>
      </c>
      <c r="DI21" s="26" t="n">
        <v>1092514.64</v>
      </c>
      <c r="DJ21" s="21" t="n">
        <v>452466.44</v>
      </c>
      <c r="DK21" s="2"/>
      <c r="DL21" s="21" t="n">
        <v>864030.18</v>
      </c>
      <c r="DM21" s="32" t="n">
        <v>300806.86</v>
      </c>
      <c r="DO21" s="24"/>
      <c r="DP21" s="24"/>
      <c r="DQ21" s="21" t="n">
        <v>1034660.12</v>
      </c>
      <c r="DR21" s="21" t="n">
        <v>425093.58</v>
      </c>
      <c r="DS21" s="2"/>
      <c r="DT21" s="21" t="n">
        <v>850956.26</v>
      </c>
      <c r="DU21" s="21" t="n">
        <v>330789.08</v>
      </c>
      <c r="DV21" s="21" t="n">
        <v>901941.9</v>
      </c>
      <c r="DW21" s="2"/>
      <c r="DX21" s="21" t="n">
        <v>850776.06</v>
      </c>
      <c r="DY21" s="21" t="n">
        <v>330643.38</v>
      </c>
      <c r="EB21" s="34"/>
      <c r="EJ21" s="21"/>
    </row>
    <row r="22" customFormat="false" ht="12.8" hidden="false" customHeight="false" outlineLevel="0" collapsed="false">
      <c r="A22" s="1" t="s">
        <v>265</v>
      </c>
      <c r="S22" s="19"/>
      <c r="T22" s="19"/>
      <c r="U22" s="19"/>
      <c r="V22" s="21"/>
      <c r="W22" s="21" t="n">
        <v>1011883.46</v>
      </c>
      <c r="X22" s="25" t="n">
        <v>778122.94</v>
      </c>
      <c r="Y22" s="19"/>
      <c r="Z22" s="19"/>
      <c r="AA22" s="19"/>
      <c r="AB22" s="19"/>
      <c r="AC22" s="21"/>
      <c r="AD22" s="21" t="n">
        <v>1361739.42</v>
      </c>
      <c r="AE22" s="21" t="n">
        <v>857998.04</v>
      </c>
      <c r="AF22" s="19"/>
      <c r="AG22" s="19"/>
      <c r="AH22" s="19"/>
      <c r="AI22" s="19"/>
      <c r="AJ22" s="21"/>
      <c r="AK22" s="21" t="n">
        <v>1582841.1</v>
      </c>
      <c r="AL22" s="21" t="n">
        <v>1157803.82</v>
      </c>
      <c r="AM22" s="21"/>
      <c r="AN22" s="21" t="n">
        <v>1010679.18</v>
      </c>
      <c r="AO22" s="26" t="n">
        <v>776727.72</v>
      </c>
      <c r="AP22" s="19"/>
      <c r="AQ22" s="20"/>
      <c r="AR22" s="19"/>
      <c r="AS22" s="19"/>
      <c r="AT22" s="19"/>
      <c r="AU22" s="19"/>
      <c r="AW22" s="21" t="n">
        <v>689341.08</v>
      </c>
      <c r="AX22" s="21" t="n">
        <v>704816.74</v>
      </c>
      <c r="AY22" s="24"/>
      <c r="AZ22" s="24"/>
      <c r="BA22" s="21" t="n">
        <v>697790.82</v>
      </c>
      <c r="BB22" s="26"/>
      <c r="BC22" s="26"/>
      <c r="BD22" s="21" t="n">
        <v>705839.66</v>
      </c>
      <c r="BE22" s="21" t="n">
        <v>690858.22</v>
      </c>
      <c r="BF22" s="21" t="n">
        <v>691182.52</v>
      </c>
      <c r="BG22" s="21" t="n">
        <v>680933.42</v>
      </c>
      <c r="BH22" s="21" t="n">
        <v>706988.54</v>
      </c>
      <c r="BI22" s="21" t="n">
        <v>688335</v>
      </c>
      <c r="BJ22" s="21" t="n">
        <v>704032.9</v>
      </c>
      <c r="BK22" s="26"/>
      <c r="BL22" s="24"/>
      <c r="BM22" s="24"/>
      <c r="BN22" s="24"/>
      <c r="BO22" s="24"/>
      <c r="BP22" s="24"/>
      <c r="BQ22" s="26"/>
      <c r="BR22" s="24"/>
      <c r="BS22" s="24"/>
      <c r="BT22" s="21" t="n">
        <v>696449.2</v>
      </c>
      <c r="BU22" s="21" t="n">
        <v>700648.08</v>
      </c>
      <c r="BV22" s="2"/>
      <c r="BW22" s="26" t="n">
        <v>691182.52</v>
      </c>
      <c r="BX22" s="26" t="n">
        <v>680903.3</v>
      </c>
      <c r="BY22" s="21" t="n">
        <v>693024.76</v>
      </c>
      <c r="BZ22" s="21" t="n">
        <v>701793.04</v>
      </c>
      <c r="CA22" s="2"/>
      <c r="CB22" s="26" t="n">
        <v>691182.52</v>
      </c>
      <c r="CC22" s="29" t="n">
        <v>680903.3</v>
      </c>
      <c r="CD22" s="24"/>
      <c r="CE22" s="26"/>
      <c r="CF22" s="21"/>
      <c r="CG22" s="26"/>
      <c r="CH22" s="26"/>
      <c r="CI22" s="24"/>
      <c r="CJ22" s="26"/>
      <c r="CK22" s="26"/>
      <c r="CL22" s="21" t="n">
        <v>677003.02</v>
      </c>
      <c r="CM22" s="21" t="n">
        <v>664150.56</v>
      </c>
      <c r="CN22" s="2"/>
      <c r="CO22" s="25" t="n">
        <v>679944.1</v>
      </c>
      <c r="CP22" s="25" t="n">
        <v>680168.92</v>
      </c>
      <c r="CS22" s="21" t="n">
        <v>690622</v>
      </c>
      <c r="CT22" s="21" t="n">
        <v>700649.46</v>
      </c>
      <c r="CU22" s="2"/>
      <c r="CV22" s="25" t="n">
        <v>691182.52</v>
      </c>
      <c r="CW22" s="30" t="n">
        <v>680903.3</v>
      </c>
      <c r="CX22" s="24"/>
      <c r="CY22" s="26"/>
      <c r="CZ22" s="24"/>
      <c r="DB22" s="21" t="n">
        <v>696400.88</v>
      </c>
      <c r="DC22" s="21" t="n">
        <v>701507.72</v>
      </c>
      <c r="DD22" s="2"/>
      <c r="DF22" s="25" t="n">
        <v>691182.52</v>
      </c>
      <c r="DG22" s="30" t="n">
        <v>680903.3</v>
      </c>
      <c r="DI22" s="21" t="n">
        <v>744033.18</v>
      </c>
      <c r="DJ22" s="21" t="n">
        <v>700405.84</v>
      </c>
      <c r="DK22" s="2"/>
      <c r="DL22" s="26" t="n">
        <v>691182.52</v>
      </c>
      <c r="DM22" s="29" t="n">
        <v>680903.3</v>
      </c>
      <c r="DO22" s="24"/>
      <c r="DP22" s="24"/>
      <c r="DQ22" s="21" t="n">
        <v>854290.42</v>
      </c>
      <c r="DR22" s="21" t="n">
        <v>817276.8</v>
      </c>
      <c r="DS22" s="2"/>
      <c r="DT22" s="21" t="n">
        <v>705839.66</v>
      </c>
      <c r="DU22" s="21" t="n">
        <v>689724.34</v>
      </c>
      <c r="DV22" s="21" t="n">
        <v>830328.66</v>
      </c>
      <c r="DW22" s="2"/>
      <c r="DX22" s="21" t="n">
        <v>705839.66</v>
      </c>
      <c r="DY22" s="21" t="n">
        <v>689724.34</v>
      </c>
      <c r="EB22" s="34"/>
      <c r="EJ22" s="21"/>
    </row>
    <row r="23" customFormat="false" ht="12.8" hidden="false" customHeight="false" outlineLevel="0" collapsed="false">
      <c r="DO23" s="2"/>
    </row>
    <row r="24" customFormat="false" ht="12.8" hidden="false" customHeight="false" outlineLevel="0" collapsed="false">
      <c r="A24" s="1" t="s">
        <v>266</v>
      </c>
      <c r="DO24" s="2"/>
    </row>
    <row r="25" customFormat="false" ht="12.8" hidden="false" customHeight="false" outlineLevel="0" collapsed="false">
      <c r="A25" s="1" t="s">
        <v>267</v>
      </c>
      <c r="B25" s="1" t="n">
        <v>64002</v>
      </c>
      <c r="C25" s="1" t="n">
        <v>34474</v>
      </c>
      <c r="I25" s="1" t="n">
        <v>99396</v>
      </c>
      <c r="J25" s="1" t="n">
        <v>84011</v>
      </c>
      <c r="K25" s="1" t="n">
        <v>84007</v>
      </c>
      <c r="L25" s="1" t="n">
        <v>93543</v>
      </c>
      <c r="M25" s="1" t="n">
        <v>93145</v>
      </c>
      <c r="N25" s="1" t="n">
        <v>78212</v>
      </c>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1" t="n">
        <v>88594</v>
      </c>
      <c r="DO25" s="2"/>
    </row>
    <row r="26" customFormat="false" ht="12.8" hidden="false" customHeight="false" outlineLevel="0" collapsed="false">
      <c r="DO26" s="2"/>
    </row>
    <row r="27" customFormat="false" ht="12.8" hidden="false" customHeight="false" outlineLevel="0" collapsed="false">
      <c r="A27" s="1" t="s">
        <v>268</v>
      </c>
      <c r="DO27" s="2"/>
      <c r="EF27" s="2"/>
      <c r="EG27" s="2"/>
      <c r="EH27" s="2"/>
      <c r="EI27" s="2"/>
      <c r="EJ27" s="2"/>
      <c r="EK27" s="2"/>
      <c r="EL27" s="2"/>
      <c r="EM27" s="2"/>
      <c r="EN27" s="2"/>
      <c r="EO27" s="2"/>
      <c r="EP27" s="2"/>
      <c r="EQ27" s="2"/>
      <c r="ER27" s="2"/>
      <c r="ES27" s="2"/>
      <c r="ET27" s="2"/>
      <c r="EU27" s="2"/>
    </row>
    <row r="28" customFormat="false" ht="12.8" hidden="false" customHeight="false" outlineLevel="0" collapsed="false">
      <c r="A28" s="1" t="s">
        <v>269</v>
      </c>
      <c r="B28" s="1" t="n">
        <v>9646</v>
      </c>
      <c r="C28" s="1" t="n">
        <v>12085</v>
      </c>
      <c r="D28" s="1" t="n">
        <v>5406</v>
      </c>
      <c r="E28" s="1" t="n">
        <v>6677</v>
      </c>
      <c r="F28" s="1" t="n">
        <v>6880</v>
      </c>
      <c r="G28" s="1" t="n">
        <v>5545</v>
      </c>
      <c r="H28" s="1" t="n">
        <v>5546</v>
      </c>
      <c r="I28" s="1" t="n">
        <v>5406</v>
      </c>
      <c r="J28" s="1" t="n">
        <v>6676</v>
      </c>
      <c r="K28" s="1" t="n">
        <v>6876</v>
      </c>
      <c r="L28" s="1" t="n">
        <v>5545</v>
      </c>
      <c r="M28" s="1" t="n">
        <v>5545</v>
      </c>
      <c r="N28" s="1" t="n">
        <v>6262</v>
      </c>
      <c r="O28" s="1" t="n">
        <v>5406</v>
      </c>
      <c r="P28" s="1" t="n">
        <v>6873</v>
      </c>
      <c r="Q28" s="1" t="n">
        <v>5545</v>
      </c>
      <c r="R28" s="1" t="n">
        <v>6718</v>
      </c>
      <c r="S28" s="19" t="n">
        <v>5519.09495077803</v>
      </c>
      <c r="T28" s="19" t="n">
        <v>5338.64782470626</v>
      </c>
      <c r="U28" s="19"/>
      <c r="V28" s="21" t="n">
        <v>6332.17021276596</v>
      </c>
      <c r="W28" s="25" t="n">
        <v>7026.72626230549</v>
      </c>
      <c r="X28" s="19"/>
      <c r="Y28" s="19"/>
      <c r="Z28" s="19"/>
      <c r="AA28" s="19"/>
      <c r="AB28" s="19"/>
      <c r="AC28" s="21" t="n">
        <v>5845.72785011115</v>
      </c>
      <c r="AD28" s="21" t="n">
        <v>6925.23245474754</v>
      </c>
      <c r="AE28" s="19"/>
      <c r="AF28" s="19"/>
      <c r="AG28" s="19"/>
      <c r="AH28" s="19"/>
      <c r="AI28" s="19"/>
      <c r="AJ28" s="21" t="n">
        <v>7319.51413147031</v>
      </c>
      <c r="AK28" s="21" t="n">
        <v>7982.48936170213</v>
      </c>
      <c r="AL28" s="21"/>
      <c r="AM28" s="26" t="n">
        <v>6334.43251825977</v>
      </c>
      <c r="AN28" s="21" t="n">
        <v>7030.04255319149</v>
      </c>
      <c r="AO28" s="19"/>
      <c r="AP28" s="19"/>
      <c r="AR28" s="19" t="n">
        <v>6900.75579549063</v>
      </c>
      <c r="AS28" s="19" t="n">
        <v>6910.56906954589</v>
      </c>
      <c r="AT28" s="19" t="n">
        <v>6884.14290250873</v>
      </c>
      <c r="AU28" s="19" t="n">
        <v>6884.14290250873</v>
      </c>
      <c r="AX28" s="21" t="n">
        <v>6885.83804382344</v>
      </c>
      <c r="AZ28" s="19"/>
      <c r="BA28" s="21" t="n">
        <v>6882.90885995554</v>
      </c>
      <c r="BB28" s="19"/>
      <c r="BD28" s="25" t="n">
        <v>6826.30993966339</v>
      </c>
      <c r="BE28" s="25"/>
      <c r="BF28" s="21" t="n">
        <v>7564.07875516037</v>
      </c>
      <c r="BG28" s="21"/>
      <c r="BH28" s="21" t="n">
        <v>6939.43696411559</v>
      </c>
      <c r="BI28" s="21"/>
      <c r="BJ28" s="21" t="n">
        <v>6938.26897427755</v>
      </c>
      <c r="BL28" s="19" t="n">
        <v>5470.32867577009</v>
      </c>
      <c r="BT28" s="21" t="n">
        <v>5386.63861543347</v>
      </c>
      <c r="BU28" s="21"/>
      <c r="BV28" s="21" t="n">
        <v>5393.61130517625</v>
      </c>
      <c r="BW28" s="21" t="n">
        <v>7564.07875516037</v>
      </c>
      <c r="BX28" s="21"/>
      <c r="BY28" s="21" t="n">
        <v>5386.59510955859</v>
      </c>
      <c r="BZ28" s="21"/>
      <c r="CA28" s="21" t="n">
        <v>5393.61098761512</v>
      </c>
      <c r="CB28" s="21" t="n">
        <v>7564.07875516037</v>
      </c>
      <c r="CC28" s="21"/>
      <c r="CF28" s="2"/>
      <c r="CL28" s="21" t="n">
        <v>6178.1810098444</v>
      </c>
      <c r="CM28" s="21"/>
      <c r="CN28" s="21" t="n">
        <v>6165.82565893935</v>
      </c>
      <c r="CO28" s="21" t="n">
        <v>7556.40520800254</v>
      </c>
      <c r="CS28" s="21" t="n">
        <v>5393.90282629406</v>
      </c>
      <c r="CT28" s="21"/>
      <c r="CU28" s="21" t="n">
        <v>5393.81930771674</v>
      </c>
      <c r="CV28" s="21" t="n">
        <v>7564.07875516037</v>
      </c>
      <c r="CW28" s="21"/>
      <c r="DB28" s="21" t="n">
        <v>5334.01841854557</v>
      </c>
      <c r="DC28" s="21"/>
      <c r="DD28" s="21" t="n">
        <v>5334.01841854557</v>
      </c>
      <c r="DF28" s="21" t="n">
        <v>7564.07875516037</v>
      </c>
      <c r="DG28" s="21"/>
      <c r="DI28" s="26" t="n">
        <v>16997.9072721499</v>
      </c>
      <c r="DJ28" s="26"/>
      <c r="DK28" s="21" t="n">
        <v>8371.1206732296</v>
      </c>
      <c r="DL28" s="26" t="n">
        <v>7564.07875516037</v>
      </c>
      <c r="DM28" s="21"/>
      <c r="DO28" s="2"/>
      <c r="DQ28" s="21" t="n">
        <v>7677.65195300095</v>
      </c>
      <c r="DR28" s="2"/>
      <c r="DS28" s="21" t="n">
        <v>6826.30993966339</v>
      </c>
      <c r="DT28" s="25" t="n">
        <v>6826.30993966339</v>
      </c>
      <c r="DU28" s="2"/>
      <c r="DV28" s="21" t="n">
        <v>7519.70974912671</v>
      </c>
      <c r="DW28" s="21" t="n">
        <v>6826.30993966339</v>
      </c>
      <c r="DX28" s="21" t="n">
        <v>6826.30993966339</v>
      </c>
      <c r="DY28" s="21"/>
      <c r="EF28" s="21"/>
      <c r="EG28" s="21"/>
      <c r="EH28" s="21"/>
      <c r="EI28" s="21"/>
      <c r="EJ28" s="21"/>
      <c r="EK28" s="21"/>
      <c r="EL28" s="21"/>
      <c r="EM28" s="21"/>
      <c r="EN28" s="21"/>
      <c r="EO28" s="21"/>
      <c r="EQ28" s="21"/>
      <c r="ER28" s="21"/>
      <c r="ES28" s="21"/>
      <c r="ET28" s="21"/>
      <c r="EU28" s="21"/>
    </row>
    <row r="29" customFormat="false" ht="12.8" hidden="false" customHeight="false" outlineLevel="0" collapsed="false">
      <c r="A29" s="1" t="s">
        <v>270</v>
      </c>
      <c r="S29" s="19"/>
      <c r="T29" s="19"/>
      <c r="U29" s="19"/>
      <c r="V29" s="19"/>
      <c r="W29" s="25" t="n">
        <v>63849.5928866307</v>
      </c>
      <c r="X29" s="25" t="n">
        <v>16871.7380120673</v>
      </c>
      <c r="Y29" s="19"/>
      <c r="Z29" s="19"/>
      <c r="AA29" s="19"/>
      <c r="AB29" s="19"/>
      <c r="AC29" s="19"/>
      <c r="AD29" s="21" t="n">
        <v>66722.8672594475</v>
      </c>
      <c r="AE29" s="21" t="n">
        <v>14906.6354398222</v>
      </c>
      <c r="AF29" s="19"/>
      <c r="AG29" s="19"/>
      <c r="AH29" s="19"/>
      <c r="AI29" s="19"/>
      <c r="AJ29" s="19"/>
      <c r="AK29" s="21" t="n">
        <v>65859.289615751</v>
      </c>
      <c r="AL29" s="21" t="n">
        <v>18621.0619244205</v>
      </c>
      <c r="AM29" s="19"/>
      <c r="AN29" s="26" t="n">
        <v>63439.1752937441</v>
      </c>
      <c r="AO29" s="26" t="n">
        <v>16808.1610034932</v>
      </c>
      <c r="AP29" s="19"/>
      <c r="AR29" s="19"/>
      <c r="AS29" s="19"/>
      <c r="AT29" s="19"/>
      <c r="AU29" s="19"/>
      <c r="BL29" s="19"/>
      <c r="BT29" s="21" t="n">
        <v>60785.9317243569</v>
      </c>
      <c r="BU29" s="21" t="n">
        <v>5862.43251825977</v>
      </c>
      <c r="BW29" s="26" t="n">
        <v>46193.2429342649</v>
      </c>
      <c r="BX29" s="26" t="n">
        <v>8041.30930454112</v>
      </c>
      <c r="BY29" s="26" t="n">
        <v>61021.0889171166</v>
      </c>
      <c r="BZ29" s="21" t="n">
        <v>5850.13718640838</v>
      </c>
      <c r="CB29" s="26" t="n">
        <v>46193.2429342649</v>
      </c>
      <c r="CC29" s="29" t="n">
        <v>8041.30930454112</v>
      </c>
      <c r="CL29" s="21" t="n">
        <v>44643.7843759924</v>
      </c>
      <c r="CM29" s="21" t="n">
        <v>6514.37313432836</v>
      </c>
      <c r="CO29" s="25" t="n">
        <v>35644.430612893</v>
      </c>
      <c r="CP29" s="25" t="n">
        <v>8061.77643696412</v>
      </c>
      <c r="CS29" s="21" t="n">
        <v>60380.9803112099</v>
      </c>
      <c r="CT29" s="21" t="n">
        <v>5841.05080978088</v>
      </c>
      <c r="CV29" s="25" t="n">
        <v>46193.2429342649</v>
      </c>
      <c r="CW29" s="30" t="n">
        <v>8041.30930454112</v>
      </c>
      <c r="DF29" s="25" t="n">
        <v>46193.2429342649</v>
      </c>
      <c r="DG29" s="30" t="n">
        <v>8041.30930454112</v>
      </c>
      <c r="DL29" s="26" t="n">
        <v>46193.2429342649</v>
      </c>
      <c r="DM29" s="29" t="n">
        <v>8041.30930454112</v>
      </c>
      <c r="DO29" s="2"/>
      <c r="DQ29" s="21" t="n">
        <v>36536.501111464</v>
      </c>
      <c r="DR29" s="25" t="n">
        <v>8243.73420133376</v>
      </c>
      <c r="DT29" s="21" t="n">
        <v>35903.1771991108</v>
      </c>
      <c r="DU29" s="21" t="n">
        <v>7250.3153382026</v>
      </c>
      <c r="EF29" s="21"/>
      <c r="EG29" s="21"/>
      <c r="EH29" s="21"/>
      <c r="EI29" s="21"/>
      <c r="EJ29" s="21"/>
      <c r="EK29" s="21"/>
      <c r="EL29" s="21"/>
      <c r="EM29" s="21"/>
      <c r="EN29" s="21"/>
      <c r="EO29" s="21"/>
      <c r="EQ29" s="21"/>
      <c r="ER29" s="21"/>
      <c r="ES29" s="21"/>
      <c r="ET29" s="21"/>
      <c r="EU29" s="21"/>
    </row>
    <row r="30" customFormat="false" ht="12.8" hidden="false" customHeight="false" outlineLevel="0" collapsed="false">
      <c r="DO30" s="2"/>
    </row>
    <row r="31" customFormat="false" ht="12.8" hidden="false" customHeight="false" outlineLevel="0" collapsed="false">
      <c r="A31" s="1" t="s">
        <v>271</v>
      </c>
      <c r="E31" s="1" t="n">
        <f aca="false">AVERAGE(E10,E12,E18,E19,E28)</f>
        <v>211809.4</v>
      </c>
      <c r="F31" s="1" t="n">
        <f aca="false">AVERAGE(F10,F12,F18,F19,F28)</f>
        <v>203812</v>
      </c>
      <c r="G31" s="1" t="n">
        <f aca="false">AVERAGE(G10,G12,G18,G19,G28)</f>
        <v>196279.2</v>
      </c>
      <c r="H31" s="1" t="n">
        <f aca="false">AVERAGE(H10,H12,H18,H19,H28)</f>
        <v>210716.6</v>
      </c>
      <c r="I31" s="1" t="n">
        <f aca="false">AVERAGE(I10,I12,I18,I19,I28)</f>
        <v>780295.6</v>
      </c>
      <c r="J31" s="1" t="n">
        <f aca="false">AVERAGE(J10,J12,J18,J19,J28)</f>
        <v>214370</v>
      </c>
      <c r="K31" s="1" t="n">
        <f aca="false">AVERAGE(K10,K12,K18,K19,K28)</f>
        <v>206069</v>
      </c>
      <c r="L31" s="1" t="n">
        <f aca="false">AVERAGE(L10,L12,L18,L19,L28)</f>
        <v>197541.2</v>
      </c>
      <c r="M31" s="1" t="n">
        <f aca="false">AVERAGE(M10,M12,M18,M19,M28)</f>
        <v>201582</v>
      </c>
      <c r="N31" s="1" t="n">
        <f aca="false">AVERAGE(N10,N12,N18,N19,N28)</f>
        <v>194274.8</v>
      </c>
      <c r="O31" s="1" t="n">
        <f aca="false">AVERAGE(O10,O12,O18,O19,O28)</f>
        <v>780095.6</v>
      </c>
      <c r="P31" s="1" t="n">
        <f aca="false">AVERAGE(P10,P12,P18,P19,P28)</f>
        <v>208404.2</v>
      </c>
      <c r="Q31" s="1" t="n">
        <f aca="false">AVERAGE(Q10,Q12,Q18,Q19,Q28)</f>
        <v>197150.8</v>
      </c>
      <c r="R31" s="1" t="n">
        <f aca="false">AVERAGE(R10,R12,R18,R19,R28)</f>
        <v>90361.6</v>
      </c>
      <c r="S31" s="1" t="n">
        <f aca="false">AVERAGE(S10,S12,S18,S19,S28)</f>
        <v>816993.314990156</v>
      </c>
      <c r="T31" s="1" t="n">
        <f aca="false">AVERAGE(T10,T12,T18,T19,T28)</f>
        <v>779712.549564941</v>
      </c>
      <c r="AR31" s="1" t="n">
        <f aca="false">AVERAGE(AR10,AR12,AR18,AR19,AR28)</f>
        <v>206384.711159098</v>
      </c>
      <c r="AS31" s="1" t="n">
        <f aca="false">AVERAGE(AS10,AS12,AS18,AS19,AS28)</f>
        <v>207134.585813909</v>
      </c>
      <c r="AT31" s="1" t="n">
        <f aca="false">AVERAGE(AT10,AT12,AT18,AT19,AT28)</f>
        <v>206690.596580502</v>
      </c>
      <c r="AU31" s="1" t="n">
        <f aca="false">AVERAGE(AU10,AU12,AU18,AU19,AU28)</f>
        <v>206690.596580502</v>
      </c>
      <c r="DO31" s="2"/>
    </row>
    <row r="32" customFormat="false" ht="12.8" hidden="false" customHeight="false" outlineLevel="0" collapsed="false">
      <c r="A32" s="1" t="s">
        <v>272</v>
      </c>
      <c r="O32" s="1" t="n">
        <f aca="false">AVERAGE(O6,O10,O12,O18,O19,O28,)</f>
        <v>2778639.71428571</v>
      </c>
      <c r="P32" s="1" t="n">
        <f aca="false">AVERAGE(P6,P10,P12,P18,P19,P28,)</f>
        <v>1942574.42857143</v>
      </c>
      <c r="Q32" s="1" t="n">
        <f aca="false">AVERAGE(Q6,Q10,Q12,Q18,Q19,Q28,)</f>
        <v>1702250.57142857</v>
      </c>
      <c r="R32" s="1" t="n">
        <f aca="false">AVERAGE(R6,R10,R12,R18,R19,R28,)</f>
        <v>451258.285714286</v>
      </c>
      <c r="S32" s="1" t="n">
        <f aca="false">AVERAGE(S6,S10,S12,S18,S19,S28,)</f>
        <v>3101819.14213583</v>
      </c>
      <c r="T32" s="1" t="n">
        <f aca="false">AVERAGE(T6,T10,T12,T18,T19,T28,)</f>
        <v>2770876.00254639</v>
      </c>
      <c r="AR32" s="1" t="n">
        <f aca="false">AVERAGE(AR6,AR10,AR12,AR18,AR19,AR28,)</f>
        <v>1850506.6822565</v>
      </c>
      <c r="AS32" s="1" t="n">
        <f aca="false">AVERAGE(AS6,AS10,AS12,AS18,AS19,AS28,)</f>
        <v>1886559.63272422</v>
      </c>
      <c r="AT32" s="1" t="n">
        <f aca="false">AVERAGE(AT6,AT10,AT12,AT18,AT19,AT28,)</f>
        <v>1876435.96898607</v>
      </c>
      <c r="AU32" s="1" t="n">
        <f aca="false">AVERAGE(AU6,AU10,AU12,AU18,AU19,AU28,)</f>
        <v>1876435.96898607</v>
      </c>
      <c r="DO32" s="2"/>
    </row>
    <row r="33" customFormat="false" ht="12.8" hidden="false" customHeight="false" outlineLevel="0" collapsed="false">
      <c r="DO33" s="2"/>
    </row>
    <row r="34" customFormat="false" ht="12.8" hidden="false" customHeight="false" outlineLevel="0" collapsed="false">
      <c r="DO34" s="2"/>
    </row>
    <row r="35" customFormat="false" ht="12.8" hidden="false" customHeight="false" outlineLevel="0" collapsed="false">
      <c r="DO35" s="2"/>
    </row>
    <row r="36" customFormat="false" ht="12.8" hidden="false" customHeight="false" outlineLevel="0" collapsed="false">
      <c r="DO36" s="2"/>
    </row>
    <row r="37" customFormat="false" ht="12.8" hidden="false" customHeight="false" outlineLevel="0" collapsed="false">
      <c r="O37" s="1" t="s">
        <v>273</v>
      </c>
      <c r="DO37" s="2"/>
    </row>
    <row r="38" customFormat="false" ht="12.8" hidden="false" customHeight="false" outlineLevel="0" collapsed="false">
      <c r="DO38" s="2"/>
    </row>
    <row r="39" customFormat="false" ht="12.8" hidden="false" customHeight="false" outlineLevel="0" collapsed="false">
      <c r="DO39" s="2"/>
    </row>
    <row r="40" customFormat="false" ht="12.8" hidden="false" customHeight="false" outlineLevel="0" collapsed="false">
      <c r="DO40" s="2"/>
    </row>
    <row r="41" customFormat="false" ht="12.8" hidden="false" customHeight="false" outlineLevel="0" collapsed="false">
      <c r="DO41" s="2"/>
    </row>
    <row r="42" customFormat="false" ht="12.8" hidden="false" customHeight="false" outlineLevel="0" collapsed="false">
      <c r="A42" s="4" t="s">
        <v>274</v>
      </c>
      <c r="I42" s="2"/>
      <c r="J42" s="2"/>
      <c r="K42" s="2"/>
      <c r="O42" s="1" t="s">
        <v>18</v>
      </c>
      <c r="DO42" s="2"/>
    </row>
    <row r="43" customFormat="false" ht="12.8" hidden="false" customHeight="false" outlineLevel="0" collapsed="false">
      <c r="A43" s="1" t="s">
        <v>214</v>
      </c>
      <c r="I43" s="2"/>
      <c r="J43" s="2"/>
      <c r="K43" s="2"/>
      <c r="O43" s="1" t="s">
        <v>107</v>
      </c>
      <c r="P43" s="1" t="s">
        <v>114</v>
      </c>
      <c r="Q43" s="1" t="s">
        <v>115</v>
      </c>
      <c r="R43" s="2" t="s">
        <v>275</v>
      </c>
      <c r="S43" s="5" t="s">
        <v>117</v>
      </c>
      <c r="T43" s="5" t="s">
        <v>118</v>
      </c>
      <c r="U43" s="5"/>
      <c r="V43" s="5"/>
      <c r="W43" s="5"/>
      <c r="X43" s="5"/>
      <c r="Y43" s="5"/>
      <c r="Z43" s="5"/>
      <c r="AA43" s="5"/>
      <c r="AB43" s="5"/>
      <c r="AC43" s="5"/>
      <c r="AD43" s="5"/>
      <c r="AE43" s="5"/>
      <c r="AF43" s="5"/>
      <c r="AG43" s="5"/>
      <c r="AH43" s="5"/>
      <c r="AI43" s="5"/>
      <c r="AJ43" s="5"/>
      <c r="AK43" s="5"/>
      <c r="AL43" s="5"/>
      <c r="AM43" s="5"/>
      <c r="AN43" s="5"/>
      <c r="AO43" s="5"/>
      <c r="AP43" s="5"/>
      <c r="AR43" s="1" t="s">
        <v>138</v>
      </c>
      <c r="AS43" s="1" t="s">
        <v>139</v>
      </c>
      <c r="AT43" s="1" t="s">
        <v>140</v>
      </c>
      <c r="AU43" s="7" t="s">
        <v>141</v>
      </c>
      <c r="DO43" s="2"/>
    </row>
    <row r="44" customFormat="false" ht="12.8" hidden="false" customHeight="false" outlineLevel="0" collapsed="false">
      <c r="A44" s="1" t="s">
        <v>252</v>
      </c>
      <c r="I44" s="2"/>
      <c r="J44" s="2"/>
      <c r="K44" s="2"/>
      <c r="S44" s="35" t="n">
        <v>6821240</v>
      </c>
      <c r="T44" s="20" t="n">
        <v>6821240</v>
      </c>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35" t="n">
        <v>2543520</v>
      </c>
      <c r="AS44" s="20" t="n">
        <v>5696458</v>
      </c>
      <c r="AU44" s="1" t="n">
        <v>5229755</v>
      </c>
      <c r="DO44" s="2"/>
    </row>
    <row r="45" customFormat="false" ht="12.8" hidden="false" customHeight="false" outlineLevel="0" collapsed="false">
      <c r="A45" s="1" t="s">
        <v>253</v>
      </c>
      <c r="H45" s="21"/>
      <c r="I45" s="2"/>
      <c r="O45" s="1" t="n">
        <v>14700000</v>
      </c>
      <c r="P45" s="1" t="n">
        <v>11739000</v>
      </c>
      <c r="Q45" s="1" t="n">
        <v>10720000</v>
      </c>
      <c r="R45" s="1" t="n">
        <v>2700000</v>
      </c>
      <c r="S45" s="35" t="n">
        <v>14700187.95</v>
      </c>
      <c r="T45" s="35" t="n">
        <v>14700187.95</v>
      </c>
      <c r="U45" s="35"/>
      <c r="V45" s="21" t="n">
        <v>2654162.96</v>
      </c>
      <c r="W45" s="21" t="n">
        <v>11656273.66</v>
      </c>
      <c r="X45" s="35"/>
      <c r="Y45" s="35"/>
      <c r="Z45" s="35"/>
      <c r="AA45" s="35"/>
      <c r="AB45" s="35"/>
      <c r="AC45" s="21" t="n">
        <v>2656123.79</v>
      </c>
      <c r="AD45" s="21" t="n">
        <v>12003879.11</v>
      </c>
      <c r="AE45" s="35"/>
      <c r="AF45" s="35"/>
      <c r="AG45" s="35"/>
      <c r="AH45" s="35"/>
      <c r="AI45" s="35"/>
      <c r="AJ45" s="21" t="n">
        <v>2288518.85</v>
      </c>
      <c r="AK45" s="21" t="n">
        <v>11211819.04</v>
      </c>
      <c r="AL45" s="21"/>
      <c r="AM45" s="21" t="n">
        <v>2654221.62</v>
      </c>
      <c r="AN45" s="21" t="n">
        <v>11656404.11</v>
      </c>
      <c r="AO45" s="35"/>
      <c r="AP45" s="35"/>
      <c r="AQ45" s="2"/>
      <c r="AR45" s="35" t="n">
        <v>11794666.86</v>
      </c>
      <c r="AS45" s="35" t="n">
        <v>12165164.94</v>
      </c>
      <c r="AT45" s="35" t="n">
        <v>12101597.82</v>
      </c>
      <c r="AU45" s="35" t="n">
        <v>12101597.82</v>
      </c>
      <c r="AX45" s="21" t="n">
        <v>11788468.56</v>
      </c>
      <c r="BA45" s="21" t="n">
        <v>11739390</v>
      </c>
      <c r="BD45" s="25" t="n">
        <v>10179404.06</v>
      </c>
      <c r="BE45" s="25"/>
      <c r="BF45" s="21" t="n">
        <v>11161382.41</v>
      </c>
      <c r="BG45" s="21"/>
      <c r="BH45" s="21" t="n">
        <v>12031417</v>
      </c>
      <c r="BI45" s="21"/>
      <c r="BJ45" s="21" t="n">
        <v>12030745.61</v>
      </c>
      <c r="BL45" s="20" t="n">
        <v>12256991.9</v>
      </c>
      <c r="BT45" s="21" t="n">
        <v>11386625.26</v>
      </c>
      <c r="BU45" s="21"/>
      <c r="BV45" s="21" t="n">
        <v>11012013.33</v>
      </c>
      <c r="BW45" s="21" t="n">
        <v>11153090.35</v>
      </c>
      <c r="BX45" s="21"/>
      <c r="BY45" s="21" t="n">
        <v>11233638.65</v>
      </c>
      <c r="BZ45" s="21"/>
      <c r="CA45" s="21" t="n">
        <v>11002561.74</v>
      </c>
      <c r="CB45" s="21" t="n">
        <v>11153021.24</v>
      </c>
      <c r="CC45" s="21"/>
      <c r="CL45" s="21" t="n">
        <v>10960921.58</v>
      </c>
      <c r="CM45" s="21"/>
      <c r="CN45" s="21" t="n">
        <v>10690644.08</v>
      </c>
      <c r="CO45" s="21" t="n">
        <v>11103723.91</v>
      </c>
      <c r="CS45" s="21" t="n">
        <v>11397767.55</v>
      </c>
      <c r="CT45" s="21"/>
      <c r="CU45" s="21" t="n">
        <v>10891178.68</v>
      </c>
      <c r="CV45" s="21" t="n">
        <v>11153090.35</v>
      </c>
      <c r="CW45" s="21"/>
      <c r="DB45" s="21" t="n">
        <v>12380815.48</v>
      </c>
      <c r="DC45" s="21"/>
      <c r="DD45" s="21" t="n">
        <v>12380815.48</v>
      </c>
      <c r="DF45" s="21" t="n">
        <v>11152816.97</v>
      </c>
      <c r="DG45" s="21"/>
      <c r="DI45" s="26" t="n">
        <v>13608304.15</v>
      </c>
      <c r="DJ45" s="26"/>
      <c r="DK45" s="21" t="n">
        <v>13681569.6</v>
      </c>
      <c r="DL45" s="21" t="n">
        <v>11154732.1</v>
      </c>
      <c r="DM45" s="21"/>
      <c r="DO45" s="2"/>
      <c r="DQ45" s="21" t="n">
        <v>13120249.41</v>
      </c>
      <c r="DR45" s="21"/>
      <c r="DS45" s="21" t="n">
        <v>10268997.17</v>
      </c>
      <c r="DT45" s="21" t="n">
        <v>10268997.17</v>
      </c>
      <c r="DU45" s="21"/>
      <c r="DV45" s="21" t="n">
        <v>12658739.93</v>
      </c>
      <c r="DW45" s="21" t="n">
        <v>10248225.04</v>
      </c>
      <c r="DX45" s="21" t="n">
        <v>10248225.04</v>
      </c>
      <c r="DY45" s="21"/>
      <c r="EF45" s="21"/>
      <c r="EG45" s="21"/>
      <c r="EH45" s="21"/>
      <c r="EI45" s="21"/>
      <c r="EJ45" s="21"/>
      <c r="EK45" s="21"/>
      <c r="EL45" s="21"/>
      <c r="EM45" s="21"/>
      <c r="EN45" s="21"/>
      <c r="EO45" s="21"/>
      <c r="EQ45" s="21"/>
      <c r="ER45" s="21"/>
      <c r="ES45" s="21"/>
      <c r="ET45" s="21"/>
      <c r="EU45" s="21"/>
    </row>
    <row r="46" customFormat="false" ht="12.8" hidden="false" customHeight="false" outlineLevel="0" collapsed="false">
      <c r="A46" s="1" t="s">
        <v>254</v>
      </c>
      <c r="H46" s="21"/>
      <c r="I46" s="2"/>
      <c r="S46" s="35"/>
      <c r="T46" s="35"/>
      <c r="U46" s="35"/>
      <c r="V46" s="35"/>
      <c r="W46" s="25" t="n">
        <v>26128599.93</v>
      </c>
      <c r="X46" s="36" t="n">
        <v>2207198.96</v>
      </c>
      <c r="Y46" s="35"/>
      <c r="Z46" s="35"/>
      <c r="AA46" s="35"/>
      <c r="AB46" s="35"/>
      <c r="AC46" s="35"/>
      <c r="AD46" s="21" t="n">
        <v>30946236.87</v>
      </c>
      <c r="AE46" s="37" t="n">
        <v>3458541.48</v>
      </c>
      <c r="AF46" s="35"/>
      <c r="AG46" s="35"/>
      <c r="AH46" s="35"/>
      <c r="AI46" s="35"/>
      <c r="AJ46" s="35"/>
      <c r="AK46" s="21" t="n">
        <v>30721705.65</v>
      </c>
      <c r="AL46" s="37" t="n">
        <v>2257568.32</v>
      </c>
      <c r="AM46" s="35"/>
      <c r="AN46" s="26" t="n">
        <v>25963704.65</v>
      </c>
      <c r="AO46" s="38" t="n">
        <v>1635548.15</v>
      </c>
      <c r="AP46" s="35"/>
      <c r="AQ46" s="2"/>
      <c r="AR46" s="35"/>
      <c r="AS46" s="35"/>
      <c r="AT46" s="35"/>
      <c r="AU46" s="35"/>
      <c r="AW46" s="27" t="n">
        <v>32198352.4</v>
      </c>
      <c r="AX46" s="27" t="n">
        <v>55102989.2</v>
      </c>
      <c r="BA46" s="21"/>
      <c r="BD46" s="27" t="n">
        <v>48880460.36</v>
      </c>
      <c r="BE46" s="28" t="n">
        <v>31084273.89</v>
      </c>
      <c r="BF46" s="27" t="n">
        <v>50978864.83</v>
      </c>
      <c r="BG46" s="27" t="n">
        <v>44811738.43</v>
      </c>
      <c r="BH46" s="27" t="n">
        <v>51368391.37</v>
      </c>
      <c r="BI46" s="27" t="n">
        <v>35745851.67</v>
      </c>
      <c r="BJ46" s="21"/>
      <c r="BL46" s="20"/>
      <c r="BT46" s="21" t="n">
        <v>60668703.3</v>
      </c>
      <c r="BU46" s="21" t="n">
        <v>31320394.4</v>
      </c>
      <c r="BV46" s="21"/>
      <c r="BW46" s="26" t="n">
        <v>50887944.49</v>
      </c>
      <c r="BX46" s="26" t="n">
        <v>35510997.23</v>
      </c>
      <c r="BY46" s="26" t="n">
        <v>62437092.06</v>
      </c>
      <c r="BZ46" s="21" t="n">
        <v>31444760.94</v>
      </c>
      <c r="CA46" s="21"/>
      <c r="CB46" s="26" t="n">
        <v>50889522.5</v>
      </c>
      <c r="CC46" s="29" t="n">
        <v>35508088.94</v>
      </c>
      <c r="CL46" s="21" t="n">
        <v>45799355.93</v>
      </c>
      <c r="CM46" s="21" t="n">
        <v>29387631.87</v>
      </c>
      <c r="CN46" s="21"/>
      <c r="CO46" s="25" t="n">
        <v>47520623.52</v>
      </c>
      <c r="CP46" s="25" t="n">
        <v>31710201.59</v>
      </c>
      <c r="CS46" s="21" t="n">
        <v>60677233.41</v>
      </c>
      <c r="CT46" s="21" t="n">
        <v>31315234.05</v>
      </c>
      <c r="CU46" s="21"/>
      <c r="CV46" s="25" t="n">
        <v>50887883.09</v>
      </c>
      <c r="CW46" s="30" t="n">
        <v>35510968.78</v>
      </c>
      <c r="DB46" s="27" t="n">
        <v>60608583.49</v>
      </c>
      <c r="DC46" s="27" t="n">
        <v>33461481.24</v>
      </c>
      <c r="DD46" s="21"/>
      <c r="DF46" s="25" t="n">
        <v>50887897.01</v>
      </c>
      <c r="DG46" s="30" t="n">
        <v>35508467.79</v>
      </c>
      <c r="DI46" s="31" t="n">
        <v>69188574.16</v>
      </c>
      <c r="DJ46" s="27" t="n">
        <v>42646181.29</v>
      </c>
      <c r="DK46" s="21"/>
      <c r="DL46" s="26" t="n">
        <v>50983233.34</v>
      </c>
      <c r="DM46" s="29" t="n">
        <v>35569628.97</v>
      </c>
      <c r="DO46" s="2"/>
      <c r="DQ46" s="21" t="n">
        <v>54139371.94</v>
      </c>
      <c r="DR46" s="25" t="n">
        <v>35419409.56</v>
      </c>
      <c r="DS46" s="21"/>
      <c r="DT46" s="21" t="n">
        <v>48515673.92</v>
      </c>
      <c r="DU46" s="21" t="n">
        <v>31550291.14</v>
      </c>
      <c r="DV46" s="21"/>
      <c r="DW46" s="21"/>
      <c r="DX46" s="21"/>
      <c r="DY46" s="21"/>
      <c r="EF46" s="21"/>
      <c r="EG46" s="21"/>
      <c r="EH46" s="21"/>
      <c r="EI46" s="21"/>
      <c r="EJ46" s="21"/>
      <c r="EK46" s="21"/>
      <c r="EL46" s="21"/>
      <c r="EM46" s="21"/>
      <c r="EN46" s="21"/>
      <c r="EO46" s="21"/>
      <c r="EQ46" s="21"/>
      <c r="ER46" s="21"/>
      <c r="ES46" s="21"/>
      <c r="ET46" s="21"/>
      <c r="EU46" s="21"/>
    </row>
    <row r="47" customFormat="false" ht="12.8" hidden="false" customHeight="false" outlineLevel="0" collapsed="false">
      <c r="H47" s="2"/>
      <c r="DO47" s="2"/>
    </row>
    <row r="48" customFormat="false" ht="12.8" hidden="false" customHeight="false" outlineLevel="0" collapsed="false">
      <c r="A48" s="1" t="s">
        <v>276</v>
      </c>
      <c r="H48" s="2"/>
      <c r="DO48" s="2"/>
    </row>
    <row r="49" customFormat="false" ht="12.8" hidden="false" customHeight="false" outlineLevel="0" collapsed="false">
      <c r="A49" s="1" t="s">
        <v>256</v>
      </c>
      <c r="I49" s="21"/>
      <c r="O49" s="1" t="n">
        <v>46</v>
      </c>
      <c r="P49" s="1" t="n">
        <v>66</v>
      </c>
      <c r="Q49" s="1" t="n">
        <v>47</v>
      </c>
      <c r="R49" s="1" t="n">
        <v>66</v>
      </c>
      <c r="S49" s="36" t="n">
        <v>45.56</v>
      </c>
      <c r="T49" s="25" t="n">
        <v>45.56</v>
      </c>
      <c r="U49" s="25"/>
      <c r="V49" s="21" t="n">
        <v>71.14</v>
      </c>
      <c r="W49" s="21" t="n">
        <v>66.72</v>
      </c>
      <c r="X49" s="37" t="n">
        <v>66.72</v>
      </c>
      <c r="Y49" s="37" t="n">
        <v>66.94</v>
      </c>
      <c r="Z49" s="37" t="n">
        <v>66.94</v>
      </c>
      <c r="AA49" s="37" t="n">
        <v>117.9</v>
      </c>
      <c r="AB49" s="37" t="n">
        <v>117.9</v>
      </c>
      <c r="AC49" s="21" t="n">
        <v>73.18</v>
      </c>
      <c r="AD49" s="21" t="n">
        <v>64491.8069228326</v>
      </c>
      <c r="AE49" s="37" t="n">
        <v>72.02</v>
      </c>
      <c r="AF49" s="37" t="n">
        <v>72.02</v>
      </c>
      <c r="AG49" s="37" t="n">
        <v>72.02</v>
      </c>
      <c r="AH49" s="37" t="n">
        <v>106.02</v>
      </c>
      <c r="AI49" s="37" t="n">
        <v>106.02</v>
      </c>
      <c r="AJ49" s="21" t="n">
        <v>71.86</v>
      </c>
      <c r="AK49" s="21" t="n">
        <v>69.42</v>
      </c>
      <c r="AL49" s="37"/>
      <c r="AM49" s="21" t="n">
        <v>68.56</v>
      </c>
      <c r="AN49" s="21" t="n">
        <v>64.5</v>
      </c>
      <c r="AO49" s="37"/>
      <c r="AP49" s="37"/>
      <c r="AQ49" s="25"/>
      <c r="AR49" s="36" t="n">
        <v>61.44</v>
      </c>
      <c r="AS49" s="36" t="n">
        <v>265.32</v>
      </c>
      <c r="AT49" s="25" t="n">
        <v>309.4</v>
      </c>
      <c r="AU49" s="25" t="n">
        <v>309.4</v>
      </c>
      <c r="AW49" s="25" t="n">
        <v>61.44</v>
      </c>
      <c r="AX49" s="25" t="n">
        <v>61.44</v>
      </c>
      <c r="AY49" s="20" t="n">
        <v>61.44</v>
      </c>
      <c r="AZ49" s="25" t="n">
        <v>61.44</v>
      </c>
      <c r="BA49" s="36" t="n">
        <v>61.44</v>
      </c>
      <c r="BB49" s="36" t="n">
        <v>61.44</v>
      </c>
      <c r="BC49" s="36"/>
      <c r="BD49" s="35" t="n">
        <v>60.56</v>
      </c>
      <c r="BE49" s="35"/>
      <c r="BF49" s="35" t="n">
        <v>60.44</v>
      </c>
      <c r="BG49" s="35"/>
      <c r="BH49" s="35" t="n">
        <v>60.84</v>
      </c>
      <c r="BI49" s="35"/>
      <c r="BJ49" s="35" t="n">
        <v>61.34</v>
      </c>
      <c r="BK49" s="36"/>
      <c r="BL49" s="36" t="n">
        <v>101.44</v>
      </c>
      <c r="BM49" s="25" t="n">
        <v>47</v>
      </c>
      <c r="BN49" s="25" t="n">
        <v>47</v>
      </c>
      <c r="BO49" s="25" t="n">
        <v>47</v>
      </c>
      <c r="BP49" s="20" t="n">
        <v>47</v>
      </c>
      <c r="BQ49" s="25" t="n">
        <v>47</v>
      </c>
      <c r="BR49" s="36" t="n">
        <v>47</v>
      </c>
      <c r="BS49" s="20" t="n">
        <v>47.5</v>
      </c>
      <c r="BT49" s="36" t="n">
        <v>47</v>
      </c>
      <c r="BU49" s="36"/>
      <c r="BV49" s="20" t="n">
        <v>47</v>
      </c>
      <c r="BW49" s="21" t="n">
        <v>60.44</v>
      </c>
      <c r="BX49" s="20"/>
      <c r="BY49" s="35" t="n">
        <v>47</v>
      </c>
      <c r="BZ49" s="35"/>
      <c r="CA49" s="35" t="n">
        <v>47</v>
      </c>
      <c r="CB49" s="21" t="n">
        <v>60.44</v>
      </c>
      <c r="CC49" s="35"/>
      <c r="CD49" s="25"/>
      <c r="CE49" s="36" t="n">
        <v>49.16</v>
      </c>
      <c r="CF49" s="20" t="n">
        <v>46.9</v>
      </c>
      <c r="CG49" s="39" t="n">
        <v>49.16</v>
      </c>
      <c r="CH49" s="20" t="n">
        <v>46.9</v>
      </c>
      <c r="CI49" s="36" t="n">
        <v>46.9</v>
      </c>
      <c r="CJ49" s="25" t="n">
        <v>49.16</v>
      </c>
      <c r="CK49" s="20" t="n">
        <v>47.32</v>
      </c>
      <c r="CL49" s="25" t="n">
        <v>49.16</v>
      </c>
      <c r="CM49" s="25"/>
      <c r="CN49" s="20" t="n">
        <v>46.86</v>
      </c>
      <c r="CO49" s="21" t="n">
        <v>61.42</v>
      </c>
      <c r="CP49" s="20" t="n">
        <v>46.86</v>
      </c>
      <c r="CQ49" s="25"/>
      <c r="CR49" s="25"/>
      <c r="CS49" s="36" t="n">
        <v>47</v>
      </c>
      <c r="CT49" s="36"/>
      <c r="CU49" s="20" t="n">
        <v>48.04</v>
      </c>
      <c r="CV49" s="21" t="n">
        <v>60.44</v>
      </c>
      <c r="CW49" s="20"/>
      <c r="CX49" s="36"/>
      <c r="CY49" s="25" t="n">
        <v>48.9</v>
      </c>
      <c r="CZ49" s="35" t="n">
        <v>46.8</v>
      </c>
      <c r="DA49" s="25"/>
      <c r="DB49" s="36" t="n">
        <v>51.84</v>
      </c>
      <c r="DC49" s="36"/>
      <c r="DD49" s="20" t="n">
        <v>51.84</v>
      </c>
      <c r="DF49" s="21" t="n">
        <v>60.44</v>
      </c>
      <c r="DG49" s="20"/>
      <c r="DH49" s="36"/>
      <c r="DI49" s="25" t="n">
        <v>55.3</v>
      </c>
      <c r="DJ49" s="25"/>
      <c r="DK49" s="20" t="n">
        <v>56.18</v>
      </c>
      <c r="DL49" s="21" t="n">
        <v>60.44</v>
      </c>
      <c r="DM49" s="20"/>
      <c r="DN49" s="36"/>
      <c r="DO49" s="35" t="n">
        <v>64.98</v>
      </c>
      <c r="DP49" s="36" t="n">
        <v>62.56</v>
      </c>
      <c r="DQ49" s="25" t="n">
        <v>62.22</v>
      </c>
      <c r="DR49" s="25"/>
      <c r="DS49" s="35" t="n">
        <v>60.56</v>
      </c>
      <c r="DT49" s="21" t="n">
        <v>60.56</v>
      </c>
      <c r="DU49" s="35"/>
      <c r="DV49" s="25" t="n">
        <v>62.26</v>
      </c>
      <c r="DW49" s="25" t="n">
        <v>60.56</v>
      </c>
      <c r="DX49" s="21" t="n">
        <v>60.56</v>
      </c>
      <c r="DY49" s="25"/>
      <c r="DZ49" s="25"/>
      <c r="EA49" s="35" t="n">
        <v>67.14</v>
      </c>
      <c r="EB49" s="35" t="n">
        <v>61.16</v>
      </c>
      <c r="ED49" s="25"/>
      <c r="EF49" s="21"/>
      <c r="EG49" s="21"/>
      <c r="EH49" s="21"/>
      <c r="EI49" s="21"/>
      <c r="EJ49" s="21"/>
      <c r="EK49" s="21"/>
      <c r="EL49" s="21"/>
      <c r="EM49" s="21"/>
      <c r="EN49" s="21"/>
      <c r="EO49" s="21"/>
      <c r="EQ49" s="21"/>
      <c r="ER49" s="21"/>
      <c r="ES49" s="21"/>
      <c r="ET49" s="21"/>
      <c r="EU49" s="21"/>
    </row>
    <row r="50" customFormat="false" ht="12.8" hidden="false" customHeight="false" outlineLevel="0" collapsed="false">
      <c r="A50" s="1" t="s">
        <v>257</v>
      </c>
      <c r="J50" s="21"/>
      <c r="K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36"/>
      <c r="AS50" s="36"/>
      <c r="AT50" s="25"/>
      <c r="AU50" s="25"/>
      <c r="AW50" s="2"/>
      <c r="AX50" s="2"/>
      <c r="AY50" s="2"/>
      <c r="AZ50" s="2"/>
      <c r="BA50" s="2"/>
      <c r="BL50" s="2"/>
      <c r="BM50" s="2"/>
      <c r="BN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F50" s="2"/>
      <c r="DG50" s="2"/>
      <c r="DH50" s="2"/>
      <c r="DI50" s="2"/>
      <c r="DJ50" s="2"/>
      <c r="DK50" s="2"/>
      <c r="DL50" s="2"/>
      <c r="DM50" s="2"/>
      <c r="DN50" s="2"/>
      <c r="DO50" s="2"/>
      <c r="DP50" s="2"/>
      <c r="DQ50" s="2"/>
      <c r="DR50" s="2"/>
      <c r="DS50" s="2"/>
      <c r="DT50" s="2"/>
      <c r="DU50" s="2"/>
      <c r="DV50" s="2"/>
      <c r="DW50" s="2"/>
      <c r="DX50" s="2"/>
      <c r="DY50" s="2"/>
      <c r="DZ50" s="2"/>
      <c r="EB50" s="2"/>
      <c r="ED50" s="2"/>
      <c r="EF50" s="2"/>
      <c r="EG50" s="2"/>
      <c r="EH50" s="2"/>
      <c r="EI50" s="2"/>
      <c r="EJ50" s="2"/>
      <c r="EK50" s="2"/>
      <c r="EL50" s="2"/>
      <c r="EM50" s="2"/>
      <c r="EN50" s="2"/>
      <c r="EO50" s="2"/>
      <c r="EQ50" s="2"/>
      <c r="ER50" s="2"/>
      <c r="ES50" s="2"/>
      <c r="ET50" s="2"/>
      <c r="EU50" s="2"/>
    </row>
    <row r="51" customFormat="false" ht="12.8" hidden="false" customHeight="false" outlineLevel="0" collapsed="false">
      <c r="A51" s="1" t="s">
        <v>258</v>
      </c>
      <c r="J51" s="21"/>
      <c r="K51" s="21"/>
      <c r="O51" s="1" t="n">
        <v>348000</v>
      </c>
      <c r="P51" s="1" t="n">
        <v>122000</v>
      </c>
      <c r="Q51" s="1" t="n">
        <v>84000</v>
      </c>
      <c r="R51" s="1" t="n">
        <v>11000</v>
      </c>
      <c r="S51" s="26" t="n">
        <v>348020.34</v>
      </c>
      <c r="T51" s="38" t="n">
        <v>348020.34</v>
      </c>
      <c r="U51" s="38"/>
      <c r="V51" s="21" t="n">
        <v>11251.46</v>
      </c>
      <c r="W51" s="25" t="n">
        <v>102423.3</v>
      </c>
      <c r="X51" s="21" t="n">
        <v>102423.3</v>
      </c>
      <c r="Y51" s="21" t="n">
        <v>102721.78</v>
      </c>
      <c r="Z51" s="21" t="n">
        <v>102721.78</v>
      </c>
      <c r="AA51" s="21" t="n">
        <v>482021.5</v>
      </c>
      <c r="AB51" s="21" t="n">
        <v>482021.5</v>
      </c>
      <c r="AC51" s="21" t="n">
        <v>11824</v>
      </c>
      <c r="AD51" s="21" t="n">
        <v>83188.4</v>
      </c>
      <c r="AE51" s="21" t="n">
        <v>83188.4</v>
      </c>
      <c r="AF51" s="21" t="n">
        <v>94277.64</v>
      </c>
      <c r="AG51" s="21" t="n">
        <v>94277.64</v>
      </c>
      <c r="AH51" s="21" t="n">
        <v>264039.92</v>
      </c>
      <c r="AI51" s="21" t="n">
        <v>264039.92</v>
      </c>
      <c r="AJ51" s="21" t="n">
        <v>11851.5</v>
      </c>
      <c r="AK51" s="21" t="n">
        <v>97731.44</v>
      </c>
      <c r="AL51" s="21"/>
      <c r="AM51" s="26" t="n">
        <v>11256.6</v>
      </c>
      <c r="AN51" s="21" t="n">
        <v>102434.46</v>
      </c>
      <c r="AO51" s="21"/>
      <c r="AP51" s="21"/>
      <c r="AQ51" s="26"/>
      <c r="AR51" s="38" t="n">
        <v>112136.52</v>
      </c>
      <c r="AS51" s="38" t="n">
        <v>113887</v>
      </c>
      <c r="AT51" s="26" t="n">
        <v>114973.56</v>
      </c>
      <c r="AU51" s="26" t="n">
        <v>114973.56</v>
      </c>
      <c r="AW51" s="36" t="n">
        <v>112136.52</v>
      </c>
      <c r="AX51" s="36" t="n">
        <v>112136.52</v>
      </c>
      <c r="AY51" s="20" t="n">
        <v>112136.52</v>
      </c>
      <c r="AZ51" s="25" t="n">
        <v>113103.68</v>
      </c>
      <c r="BA51" s="25" t="n">
        <v>111413.12</v>
      </c>
      <c r="BB51" s="25" t="n">
        <v>111413.12</v>
      </c>
      <c r="BC51" s="25"/>
      <c r="BD51" s="35" t="n">
        <v>98151.3</v>
      </c>
      <c r="BE51" s="35"/>
      <c r="BF51" s="35" t="n">
        <v>90571.8</v>
      </c>
      <c r="BG51" s="35"/>
      <c r="BH51" s="35" t="n">
        <v>113181.58</v>
      </c>
      <c r="BI51" s="35"/>
      <c r="BJ51" s="35" t="n">
        <v>113100.5</v>
      </c>
      <c r="BK51" s="25"/>
      <c r="BL51" s="38" t="n">
        <v>92660.96</v>
      </c>
      <c r="BM51" s="36" t="n">
        <v>90970.66</v>
      </c>
      <c r="BN51" s="20" t="n">
        <v>90959.18</v>
      </c>
      <c r="BO51" s="36" t="n">
        <v>90970.66</v>
      </c>
      <c r="BP51" s="20" t="n">
        <v>90959.18</v>
      </c>
      <c r="BQ51" s="36" t="n">
        <v>90959.18</v>
      </c>
      <c r="BR51" s="25" t="n">
        <v>90970.66</v>
      </c>
      <c r="BS51" s="20" t="n">
        <v>90866.48</v>
      </c>
      <c r="BT51" s="25" t="n">
        <v>90970.66</v>
      </c>
      <c r="BU51" s="25"/>
      <c r="BV51" s="20" t="n">
        <v>90880.24</v>
      </c>
      <c r="BW51" s="21" t="n">
        <v>90571.8</v>
      </c>
      <c r="BX51" s="20"/>
      <c r="BY51" s="35" t="n">
        <v>90970.66</v>
      </c>
      <c r="BZ51" s="35"/>
      <c r="CA51" s="35" t="n">
        <v>90880.24</v>
      </c>
      <c r="CB51" s="21" t="n">
        <v>90571.8</v>
      </c>
      <c r="CC51" s="35"/>
      <c r="CD51" s="36"/>
      <c r="CE51" s="25" t="n">
        <v>82527.4</v>
      </c>
      <c r="CF51" s="20" t="n">
        <v>82546.54</v>
      </c>
      <c r="CG51" s="40" t="n">
        <v>82527.42</v>
      </c>
      <c r="CH51" s="20" t="n">
        <v>82546.54</v>
      </c>
      <c r="CI51" s="25" t="n">
        <v>82546.54</v>
      </c>
      <c r="CJ51" s="36" t="n">
        <v>82527.4</v>
      </c>
      <c r="CK51" s="20" t="n">
        <v>82546.18</v>
      </c>
      <c r="CL51" s="36" t="n">
        <v>82527.4</v>
      </c>
      <c r="CM51" s="36"/>
      <c r="CN51" s="20" t="n">
        <v>82556.46</v>
      </c>
      <c r="CO51" s="21" t="n">
        <v>86143.06</v>
      </c>
      <c r="CP51" s="20" t="n">
        <v>82556.46</v>
      </c>
      <c r="CQ51" s="26"/>
      <c r="CR51" s="26"/>
      <c r="CS51" s="25" t="n">
        <v>90984.58</v>
      </c>
      <c r="CT51" s="25"/>
      <c r="CU51" s="20" t="n">
        <v>90877.86</v>
      </c>
      <c r="CV51" s="21" t="n">
        <v>90571.8</v>
      </c>
      <c r="CW51" s="20"/>
      <c r="CX51" s="25"/>
      <c r="CY51" s="36" t="n">
        <v>82527.4</v>
      </c>
      <c r="CZ51" s="35" t="n">
        <v>82556.42</v>
      </c>
      <c r="DA51" s="26"/>
      <c r="DB51" s="25" t="n">
        <v>94031.76</v>
      </c>
      <c r="DC51" s="25"/>
      <c r="DD51" s="20" t="n">
        <v>94031.76</v>
      </c>
      <c r="DF51" s="21" t="n">
        <v>90571.8</v>
      </c>
      <c r="DG51" s="20"/>
      <c r="DH51" s="38"/>
      <c r="DI51" s="36" t="n">
        <v>104859.46</v>
      </c>
      <c r="DJ51" s="36"/>
      <c r="DK51" s="20" t="n">
        <v>102668.34</v>
      </c>
      <c r="DL51" s="26" t="n">
        <v>90571.8</v>
      </c>
      <c r="DM51" s="20"/>
      <c r="DN51" s="38"/>
      <c r="DO51" s="35" t="n">
        <v>144840.94</v>
      </c>
      <c r="DP51" s="25" t="n">
        <v>121540.86</v>
      </c>
      <c r="DQ51" s="25" t="n">
        <v>121190.9</v>
      </c>
      <c r="DR51" s="25"/>
      <c r="DS51" s="35" t="n">
        <v>98151.3</v>
      </c>
      <c r="DT51" s="25" t="n">
        <v>98151.3</v>
      </c>
      <c r="DU51" s="35"/>
      <c r="DV51" s="25" t="n">
        <v>125343.64</v>
      </c>
      <c r="DW51" s="25" t="n">
        <v>98151.3</v>
      </c>
      <c r="DX51" s="21" t="n">
        <v>98151.3</v>
      </c>
      <c r="DY51" s="25"/>
      <c r="DZ51" s="26"/>
      <c r="EA51" s="35" t="n">
        <v>205182.18</v>
      </c>
      <c r="EB51" s="35" t="n">
        <v>110683.06</v>
      </c>
      <c r="ED51" s="26"/>
      <c r="EF51" s="21"/>
      <c r="EG51" s="21"/>
      <c r="EH51" s="21"/>
      <c r="EI51" s="21"/>
      <c r="EJ51" s="21"/>
      <c r="EK51" s="21"/>
      <c r="EL51" s="21"/>
      <c r="EM51" s="21"/>
      <c r="EN51" s="21"/>
      <c r="EO51" s="21"/>
      <c r="EQ51" s="21"/>
      <c r="ER51" s="21"/>
      <c r="ES51" s="21"/>
      <c r="ET51" s="21"/>
      <c r="EU51" s="21"/>
    </row>
    <row r="52" customFormat="false" ht="12.8" hidden="false" customHeight="false" outlineLevel="0" collapsed="false">
      <c r="J52" s="21"/>
      <c r="K52" s="21"/>
      <c r="S52" s="26"/>
      <c r="T52" s="38"/>
      <c r="U52" s="38"/>
      <c r="V52" s="21"/>
      <c r="W52" s="21"/>
      <c r="X52" s="21"/>
      <c r="Y52" s="21"/>
      <c r="Z52" s="21"/>
      <c r="AA52" s="21"/>
      <c r="AB52" s="21"/>
      <c r="AC52" s="21"/>
      <c r="AD52" s="21"/>
      <c r="AE52" s="21"/>
      <c r="AF52" s="21"/>
      <c r="AG52" s="21"/>
      <c r="AH52" s="21"/>
      <c r="AI52" s="21"/>
      <c r="AJ52" s="21"/>
      <c r="AK52" s="21"/>
      <c r="AL52" s="21"/>
      <c r="AM52" s="21"/>
      <c r="AN52" s="21"/>
      <c r="AO52" s="21"/>
      <c r="AP52" s="21"/>
      <c r="AQ52" s="26"/>
      <c r="AR52" s="38"/>
      <c r="AS52" s="38"/>
      <c r="AT52" s="26"/>
      <c r="AU52" s="26"/>
      <c r="AW52" s="36"/>
      <c r="AX52" s="36"/>
      <c r="AY52" s="20"/>
      <c r="AZ52" s="25"/>
      <c r="BA52" s="25"/>
      <c r="BB52" s="25"/>
      <c r="BC52" s="25"/>
      <c r="BD52" s="35"/>
      <c r="BE52" s="35"/>
      <c r="BF52" s="35"/>
      <c r="BG52" s="35"/>
      <c r="BH52" s="35"/>
      <c r="BI52" s="35"/>
      <c r="BJ52" s="35"/>
      <c r="BK52" s="25"/>
      <c r="BL52" s="38"/>
      <c r="BM52" s="36"/>
      <c r="BN52" s="20"/>
      <c r="BO52" s="36"/>
      <c r="BP52" s="20"/>
      <c r="BQ52" s="36"/>
      <c r="BR52" s="25"/>
      <c r="BS52" s="20"/>
      <c r="BT52" s="25"/>
      <c r="BU52" s="25"/>
      <c r="BV52" s="20"/>
      <c r="BW52" s="20"/>
      <c r="BX52" s="20"/>
      <c r="BY52" s="35"/>
      <c r="BZ52" s="35"/>
      <c r="CA52" s="35"/>
      <c r="CB52" s="35"/>
      <c r="CC52" s="35"/>
      <c r="CD52" s="36"/>
      <c r="CE52" s="25"/>
      <c r="CF52" s="20"/>
      <c r="CG52" s="40"/>
      <c r="CH52" s="20"/>
      <c r="CI52" s="25"/>
      <c r="CJ52" s="36"/>
      <c r="CK52" s="20"/>
      <c r="CL52" s="36"/>
      <c r="CM52" s="36"/>
      <c r="CN52" s="20"/>
      <c r="CO52" s="20"/>
      <c r="CP52" s="20"/>
      <c r="CQ52" s="26"/>
      <c r="CR52" s="26"/>
      <c r="CS52" s="25"/>
      <c r="CT52" s="25"/>
      <c r="CU52" s="20"/>
      <c r="CV52" s="20"/>
      <c r="CW52" s="20"/>
      <c r="CX52" s="25"/>
      <c r="CY52" s="36"/>
      <c r="CZ52" s="35"/>
      <c r="DA52" s="26"/>
      <c r="DB52" s="25"/>
      <c r="DC52" s="25"/>
      <c r="DD52" s="20"/>
      <c r="DF52" s="20"/>
      <c r="DG52" s="20"/>
      <c r="DH52" s="38"/>
      <c r="DI52" s="36"/>
      <c r="DJ52" s="36"/>
      <c r="DK52" s="20"/>
      <c r="DL52" s="20"/>
      <c r="DM52" s="20"/>
      <c r="DN52" s="38"/>
      <c r="DO52" s="35"/>
      <c r="DP52" s="25"/>
      <c r="DQ52" s="25"/>
      <c r="DR52" s="25"/>
      <c r="DS52" s="35"/>
      <c r="DT52" s="35"/>
      <c r="DU52" s="35"/>
      <c r="DV52" s="25"/>
      <c r="DW52" s="25"/>
      <c r="DX52" s="25"/>
      <c r="DY52" s="25"/>
      <c r="DZ52" s="26"/>
      <c r="EA52" s="35"/>
      <c r="EB52" s="35"/>
      <c r="ED52" s="26"/>
      <c r="EF52" s="21"/>
      <c r="EG52" s="21"/>
      <c r="EH52" s="21"/>
      <c r="EI52" s="21"/>
      <c r="EJ52" s="21"/>
      <c r="EK52" s="21"/>
      <c r="EL52" s="21"/>
      <c r="EM52" s="21"/>
      <c r="EN52" s="21"/>
      <c r="EO52" s="21"/>
      <c r="EQ52" s="21"/>
      <c r="ER52" s="21"/>
      <c r="ES52" s="21"/>
      <c r="ET52" s="21"/>
      <c r="EU52" s="21"/>
    </row>
    <row r="53" customFormat="false" ht="12.8" hidden="false" customHeight="false" outlineLevel="0" collapsed="false">
      <c r="A53" s="1" t="s">
        <v>259</v>
      </c>
      <c r="J53" s="21"/>
      <c r="K53" s="21"/>
      <c r="S53" s="26"/>
      <c r="T53" s="38"/>
      <c r="U53" s="38"/>
      <c r="V53" s="21"/>
      <c r="W53" s="37" t="n">
        <v>55868.72</v>
      </c>
      <c r="X53" s="21" t="n">
        <v>273.94</v>
      </c>
      <c r="Y53" s="37" t="n">
        <v>57805.14</v>
      </c>
      <c r="Z53" s="37" t="n">
        <v>271.76</v>
      </c>
      <c r="AA53" s="37" t="n">
        <v>1201866.54</v>
      </c>
      <c r="AB53" s="37" t="n">
        <v>7019.62</v>
      </c>
      <c r="AC53" s="21"/>
      <c r="AD53" s="37" t="n">
        <v>56224.36</v>
      </c>
      <c r="AE53" s="37" t="n">
        <v>93.48</v>
      </c>
      <c r="AF53" s="37" t="n">
        <v>61492.54</v>
      </c>
      <c r="AG53" s="37" t="n">
        <v>93.48</v>
      </c>
      <c r="AH53" s="37" t="n">
        <v>679793.24</v>
      </c>
      <c r="AI53" s="37" t="n">
        <v>5997.58</v>
      </c>
      <c r="AJ53" s="2"/>
      <c r="AK53" s="37" t="n">
        <v>52490.54</v>
      </c>
      <c r="AL53" s="21" t="n">
        <v>120.9</v>
      </c>
      <c r="AM53" s="21"/>
      <c r="AN53" s="37" t="n">
        <v>54943.08</v>
      </c>
      <c r="AO53" s="21" t="n">
        <v>148.34</v>
      </c>
      <c r="AP53" s="21"/>
      <c r="AQ53" s="26"/>
      <c r="AR53" s="38"/>
      <c r="AS53" s="38"/>
      <c r="AT53" s="26"/>
      <c r="AU53" s="26"/>
      <c r="AW53" s="37" t="n">
        <v>1780.36</v>
      </c>
      <c r="AX53" s="27" t="n">
        <v>64759.4</v>
      </c>
      <c r="AY53" s="20"/>
      <c r="AZ53" s="25"/>
      <c r="BA53" s="25"/>
      <c r="BB53" s="25"/>
      <c r="BC53" s="25"/>
      <c r="BD53" s="27" t="n">
        <v>61339.12</v>
      </c>
      <c r="BE53" s="27" t="n">
        <v>1745.24</v>
      </c>
      <c r="BF53" s="27" t="n">
        <v>60992.46</v>
      </c>
      <c r="BG53" s="27" t="n">
        <v>1775.8</v>
      </c>
      <c r="BH53" s="27" t="n">
        <v>59940.52</v>
      </c>
      <c r="BI53" s="27" t="n">
        <v>1825.32</v>
      </c>
      <c r="BJ53" s="35"/>
      <c r="BK53" s="25"/>
      <c r="BL53" s="38"/>
      <c r="BM53" s="36"/>
      <c r="BN53" s="20"/>
      <c r="BO53" s="36"/>
      <c r="BP53" s="20"/>
      <c r="BQ53" s="36"/>
      <c r="BR53" s="25"/>
      <c r="BS53" s="20"/>
      <c r="BT53" s="21" t="n">
        <v>51990.22</v>
      </c>
      <c r="BU53" s="21" t="n">
        <v>1482.4</v>
      </c>
      <c r="BV53" s="20"/>
      <c r="BW53" s="21" t="n">
        <v>60992.46</v>
      </c>
      <c r="BX53" s="21" t="n">
        <v>1775.4</v>
      </c>
      <c r="BY53" s="21" t="n">
        <v>52975.3</v>
      </c>
      <c r="BZ53" s="21" t="n">
        <v>1466.44</v>
      </c>
      <c r="CA53" s="35"/>
      <c r="CB53" s="21" t="n">
        <v>60992.46</v>
      </c>
      <c r="CC53" s="32" t="n">
        <v>1775.4</v>
      </c>
      <c r="CD53" s="36"/>
      <c r="CE53" s="25"/>
      <c r="CF53" s="20"/>
      <c r="CG53" s="40"/>
      <c r="CH53" s="20"/>
      <c r="CI53" s="25"/>
      <c r="CJ53" s="36"/>
      <c r="CK53" s="20"/>
      <c r="CL53" s="37" t="n">
        <v>44876.16</v>
      </c>
      <c r="CM53" s="21" t="n">
        <v>1455.26</v>
      </c>
      <c r="CN53" s="37" t="n">
        <v>44688.26</v>
      </c>
      <c r="CO53" s="21" t="n">
        <v>55953.14</v>
      </c>
      <c r="CP53" s="21" t="n">
        <v>1735.84</v>
      </c>
      <c r="CQ53" s="26"/>
      <c r="CR53" s="26"/>
      <c r="CS53" s="37" t="n">
        <v>52128.18</v>
      </c>
      <c r="CT53" s="21" t="n">
        <v>1485.38</v>
      </c>
      <c r="CU53" s="37" t="n">
        <v>52187.04</v>
      </c>
      <c r="CV53" s="21" t="n">
        <v>60992.46</v>
      </c>
      <c r="CW53" s="32" t="n">
        <v>1775.4</v>
      </c>
      <c r="CX53" s="25"/>
      <c r="CY53" s="36"/>
      <c r="CZ53" s="35"/>
      <c r="DA53" s="26"/>
      <c r="DB53" s="27" t="n">
        <v>51989.54</v>
      </c>
      <c r="DC53" s="27" t="n">
        <v>1503.42</v>
      </c>
      <c r="DD53" s="20"/>
      <c r="DF53" s="21" t="n">
        <v>60992.46</v>
      </c>
      <c r="DG53" s="32" t="n">
        <v>1775.4</v>
      </c>
      <c r="DH53" s="38"/>
      <c r="DI53" s="27" t="n">
        <v>48451.08</v>
      </c>
      <c r="DJ53" s="27" t="n">
        <v>1554.86</v>
      </c>
      <c r="DK53" s="20"/>
      <c r="DL53" s="21" t="n">
        <v>60992.46</v>
      </c>
      <c r="DM53" s="32" t="n">
        <v>1775.4</v>
      </c>
      <c r="DN53" s="38"/>
      <c r="DO53" s="35"/>
      <c r="DP53" s="25"/>
      <c r="DQ53" s="21" t="n">
        <v>66888.6</v>
      </c>
      <c r="DR53" s="21" t="n">
        <v>1721.92</v>
      </c>
      <c r="DS53" s="37" t="n">
        <v>61339.12</v>
      </c>
      <c r="DT53" s="21" t="n">
        <v>61339.12</v>
      </c>
      <c r="DU53" s="21" t="n">
        <v>1740.74</v>
      </c>
      <c r="DV53" s="25"/>
      <c r="DW53" s="25"/>
      <c r="DX53" s="25"/>
      <c r="DY53" s="25"/>
      <c r="DZ53" s="26"/>
      <c r="EA53" s="35"/>
      <c r="EB53" s="35"/>
      <c r="ED53" s="26"/>
      <c r="EF53" s="21"/>
      <c r="EG53" s="21"/>
      <c r="EH53" s="21"/>
      <c r="EI53" s="21"/>
      <c r="EJ53" s="21"/>
      <c r="EK53" s="21"/>
      <c r="EL53" s="21"/>
      <c r="EM53" s="21"/>
      <c r="EN53" s="21"/>
      <c r="EO53" s="21"/>
      <c r="EQ53" s="21"/>
      <c r="ER53" s="21"/>
      <c r="ES53" s="21"/>
      <c r="ET53" s="21"/>
      <c r="EU53" s="21"/>
    </row>
    <row r="54" customFormat="false" ht="12.8" hidden="false" customHeight="false" outlineLevel="0" collapsed="false">
      <c r="J54" s="21"/>
      <c r="K54" s="21"/>
    </row>
    <row r="55" customFormat="false" ht="12.8" hidden="false" customHeight="false" outlineLevel="0" collapsed="false">
      <c r="A55" s="1" t="s">
        <v>260</v>
      </c>
    </row>
    <row r="56" customFormat="false" ht="12.8" hidden="false" customHeight="false" outlineLevel="0" collapsed="false">
      <c r="A56" s="1" t="s">
        <v>261</v>
      </c>
      <c r="W56" s="21" t="n">
        <v>679627.42</v>
      </c>
      <c r="X56" s="21" t="n">
        <v>678567.08</v>
      </c>
      <c r="Y56" s="21" t="n">
        <v>679631.16</v>
      </c>
      <c r="Z56" s="21" t="n">
        <v>678570.56</v>
      </c>
      <c r="AA56" s="21" t="n">
        <v>1009491.26</v>
      </c>
      <c r="AB56" s="21" t="n">
        <v>1093477.58</v>
      </c>
      <c r="AD56" s="21" t="n">
        <v>665841.8</v>
      </c>
      <c r="AE56" s="21" t="n">
        <v>666986.54</v>
      </c>
      <c r="AF56" s="21" t="n">
        <v>665890.92</v>
      </c>
      <c r="AG56" s="21" t="n">
        <v>666898.06</v>
      </c>
      <c r="AH56" s="21" t="n">
        <v>983349.9</v>
      </c>
      <c r="AI56" s="21" t="n">
        <v>1061537.5</v>
      </c>
      <c r="AJ56" s="2"/>
      <c r="AK56" s="21" t="n">
        <v>1102278.48</v>
      </c>
      <c r="AL56" s="21"/>
      <c r="AN56" s="21" t="n">
        <v>679574.9</v>
      </c>
      <c r="AW56" s="21" t="n">
        <v>663241.08</v>
      </c>
      <c r="AX56" s="21" t="n">
        <v>663254.56</v>
      </c>
      <c r="AY56" s="37"/>
      <c r="AZ56" s="37" t="n">
        <v>663245.68</v>
      </c>
      <c r="BA56" s="21" t="n">
        <v>663216.76</v>
      </c>
      <c r="BB56" s="21" t="n">
        <v>663216.76</v>
      </c>
      <c r="BC56" s="21"/>
      <c r="BD56" s="36" t="n">
        <v>660993.9</v>
      </c>
      <c r="BE56" s="27" t="n">
        <v>660978.4</v>
      </c>
      <c r="BF56" s="37" t="n">
        <v>649770.12</v>
      </c>
      <c r="BG56" s="27" t="n">
        <v>651367.52</v>
      </c>
      <c r="BH56" s="37" t="n">
        <v>663178.46</v>
      </c>
      <c r="BI56" s="27" t="n">
        <v>663175.52</v>
      </c>
      <c r="BJ56" s="37" t="n">
        <v>663089.96</v>
      </c>
      <c r="BK56" s="21"/>
      <c r="BM56" s="21" t="n">
        <v>628142.9</v>
      </c>
      <c r="BN56" s="21"/>
      <c r="BO56" s="21" t="n">
        <v>628293.4</v>
      </c>
      <c r="BP56" s="21"/>
      <c r="BQ56" s="21" t="n">
        <v>628105.68</v>
      </c>
      <c r="BR56" s="37" t="n">
        <v>628142.9</v>
      </c>
      <c r="BS56" s="37"/>
      <c r="BT56" s="37" t="n">
        <v>628142.9</v>
      </c>
      <c r="BU56" s="21" t="n">
        <v>628120.02</v>
      </c>
      <c r="BV56" s="21" t="n">
        <v>628652.5</v>
      </c>
      <c r="BW56" s="21"/>
      <c r="BX56" s="21"/>
      <c r="BY56" s="37" t="n">
        <v>628293.4</v>
      </c>
      <c r="BZ56" s="21" t="n">
        <v>628267.04</v>
      </c>
      <c r="CA56" s="37" t="n">
        <v>628652.5</v>
      </c>
      <c r="CB56" s="37"/>
      <c r="CC56" s="37"/>
      <c r="CD56" s="21"/>
      <c r="CE56" s="37" t="n">
        <v>628050.6</v>
      </c>
      <c r="CF56" s="21" t="n">
        <v>627891</v>
      </c>
      <c r="CG56" s="37" t="n">
        <v>627957.48</v>
      </c>
      <c r="CH56" s="37"/>
      <c r="CI56" s="37" t="n">
        <v>627938.04</v>
      </c>
      <c r="CJ56" s="21" t="n">
        <v>628050.6</v>
      </c>
      <c r="CK56" s="21"/>
      <c r="CL56" s="21" t="n">
        <v>628050.6</v>
      </c>
      <c r="CM56" s="21" t="n">
        <v>628047.34</v>
      </c>
      <c r="CN56" s="21" t="n">
        <v>627891</v>
      </c>
      <c r="CO56" s="21"/>
      <c r="CP56" s="21" t="n">
        <v>627889.36</v>
      </c>
      <c r="CS56" s="37" t="n">
        <v>628142.9</v>
      </c>
      <c r="CT56" s="21" t="n">
        <v>628120.02</v>
      </c>
      <c r="CU56" s="21" t="n">
        <v>628652.5</v>
      </c>
      <c r="CV56" s="21"/>
      <c r="CW56" s="21"/>
      <c r="CX56" s="37"/>
      <c r="CY56" s="21" t="n">
        <v>628050.6</v>
      </c>
      <c r="CZ56" s="21" t="n">
        <v>627891.02</v>
      </c>
      <c r="DB56" s="21" t="n">
        <v>628142.9</v>
      </c>
      <c r="DC56" s="27" t="n">
        <v>628120.02</v>
      </c>
      <c r="DD56" s="37" t="n">
        <v>628142.9</v>
      </c>
      <c r="DF56" s="37"/>
      <c r="DG56" s="37"/>
      <c r="DI56" s="21" t="n">
        <v>639195.4</v>
      </c>
      <c r="DJ56" s="27" t="n">
        <v>644133.8</v>
      </c>
      <c r="DK56" s="37" t="n">
        <v>4297524.02</v>
      </c>
      <c r="DL56" s="37"/>
      <c r="DM56" s="37"/>
      <c r="DO56" s="37" t="n">
        <v>1061093.08</v>
      </c>
      <c r="DP56" s="37" t="n">
        <v>993919.52</v>
      </c>
      <c r="DQ56" s="21" t="n">
        <v>996676.32</v>
      </c>
      <c r="DR56" s="21" t="n">
        <v>993921.7</v>
      </c>
      <c r="DS56" s="21" t="n">
        <v>660993.9</v>
      </c>
      <c r="DT56" s="21" t="n">
        <v>660993.9</v>
      </c>
      <c r="DU56" s="21" t="n">
        <v>660978.34</v>
      </c>
      <c r="DV56" s="21" t="n">
        <v>993889.82</v>
      </c>
      <c r="DW56" s="21" t="n">
        <v>660993.9</v>
      </c>
      <c r="DX56" s="21"/>
      <c r="DY56" s="21"/>
      <c r="EB56" s="41" t="n">
        <v>663216.34</v>
      </c>
    </row>
    <row r="57" customFormat="false" ht="12.8" hidden="false" customHeight="false" outlineLevel="0" collapsed="false">
      <c r="A57" s="1" t="s">
        <v>262</v>
      </c>
      <c r="O57" s="1" t="n">
        <v>276000</v>
      </c>
      <c r="P57" s="1" t="n">
        <v>230000</v>
      </c>
      <c r="Q57" s="1" t="n">
        <v>232000</v>
      </c>
      <c r="R57" s="1" t="n">
        <v>46000</v>
      </c>
      <c r="S57" s="35" t="n">
        <v>276081.3</v>
      </c>
      <c r="T57" s="35" t="n">
        <v>276081.3</v>
      </c>
      <c r="U57" s="35"/>
      <c r="V57" s="21" t="n">
        <v>46214.54</v>
      </c>
      <c r="W57" s="25" t="n">
        <v>211116.12</v>
      </c>
      <c r="X57" s="37" t="n">
        <v>211116.12</v>
      </c>
      <c r="Y57" s="37" t="n">
        <v>211987.48</v>
      </c>
      <c r="Z57" s="37" t="n">
        <v>211987.48</v>
      </c>
      <c r="AA57" s="37" t="n">
        <v>245387</v>
      </c>
      <c r="AB57" s="37" t="n">
        <v>245387</v>
      </c>
      <c r="AC57" s="21" t="n">
        <v>47227.2</v>
      </c>
      <c r="AD57" s="21" t="n">
        <v>178701.94</v>
      </c>
      <c r="AE57" s="37" t="n">
        <v>178701.94</v>
      </c>
      <c r="AF57" s="37" t="n">
        <v>179232.32</v>
      </c>
      <c r="AG57" s="37" t="n">
        <v>179232.32</v>
      </c>
      <c r="AH57" s="37" t="n">
        <v>171804.92</v>
      </c>
      <c r="AI57" s="37" t="n">
        <v>171804.92</v>
      </c>
      <c r="AJ57" s="21" t="n">
        <v>53628.1</v>
      </c>
      <c r="AK57" s="21" t="n">
        <v>300887.06</v>
      </c>
      <c r="AL57" s="37"/>
      <c r="AM57" s="26" t="n">
        <v>46194.9</v>
      </c>
      <c r="AN57" s="21" t="n">
        <v>211087.8</v>
      </c>
      <c r="AO57" s="37"/>
      <c r="AP57" s="37"/>
      <c r="AQ57" s="35"/>
      <c r="AR57" s="35" t="n">
        <v>231020.72</v>
      </c>
      <c r="AS57" s="35" t="n">
        <v>233574.76</v>
      </c>
      <c r="AT57" s="35" t="n">
        <v>230461.8</v>
      </c>
      <c r="AU57" s="35" t="n">
        <v>230461.8</v>
      </c>
      <c r="AW57" s="21" t="n">
        <v>231020.72</v>
      </c>
      <c r="AX57" s="21" t="n">
        <v>231020.72</v>
      </c>
      <c r="AY57" s="21"/>
      <c r="AZ57" s="37" t="n">
        <v>233574.36</v>
      </c>
      <c r="BA57" s="37" t="n">
        <v>230108.8</v>
      </c>
      <c r="BB57" s="21" t="n">
        <v>230108.8</v>
      </c>
      <c r="BC57" s="21"/>
      <c r="BD57" s="21" t="n">
        <v>218449.8</v>
      </c>
      <c r="BE57" s="21"/>
      <c r="BF57" s="21" t="n">
        <v>206964.42</v>
      </c>
      <c r="BG57" s="21"/>
      <c r="BH57" s="21" t="n">
        <v>233548.58</v>
      </c>
      <c r="BI57" s="21"/>
      <c r="BJ57" s="21" t="n">
        <v>233391.84</v>
      </c>
      <c r="BK57" s="21"/>
      <c r="BM57" s="21" t="n">
        <v>138716.6</v>
      </c>
      <c r="BN57" s="21"/>
      <c r="BO57" s="21" t="n">
        <v>136687.2</v>
      </c>
      <c r="BP57" s="21"/>
      <c r="BQ57" s="21" t="n">
        <v>137093.02</v>
      </c>
      <c r="BR57" s="37" t="n">
        <v>138716.6</v>
      </c>
      <c r="BS57" s="37"/>
      <c r="BT57" s="37" t="n">
        <v>138716.6</v>
      </c>
      <c r="BU57" s="37"/>
      <c r="BV57" s="21" t="n">
        <v>136717.66</v>
      </c>
      <c r="BW57" s="21" t="n">
        <v>206964.42</v>
      </c>
      <c r="BX57" s="21"/>
      <c r="BY57" s="21" t="n">
        <v>136687.2</v>
      </c>
      <c r="BZ57" s="21"/>
      <c r="CA57" s="21" t="n">
        <v>136717.46</v>
      </c>
      <c r="CB57" s="21" t="n">
        <v>206964.42</v>
      </c>
      <c r="CC57" s="21"/>
      <c r="CD57" s="21"/>
      <c r="CE57" s="37" t="n">
        <v>192227.46</v>
      </c>
      <c r="CF57" s="21" t="n">
        <v>184915.26</v>
      </c>
      <c r="CG57" s="37" t="n">
        <v>192215.92</v>
      </c>
      <c r="CH57" s="37"/>
      <c r="CI57" s="37" t="n">
        <v>186860.94</v>
      </c>
      <c r="CJ57" s="21" t="n">
        <v>192227.46</v>
      </c>
      <c r="CK57" s="21"/>
      <c r="CL57" s="21" t="n">
        <v>192227.46</v>
      </c>
      <c r="CM57" s="21"/>
      <c r="CN57" s="21" t="n">
        <v>184915.26</v>
      </c>
      <c r="CO57" s="21" t="n">
        <v>222963.78</v>
      </c>
      <c r="CP57" s="21" t="n">
        <v>184897.84</v>
      </c>
      <c r="CS57" s="37" t="n">
        <v>137455.64</v>
      </c>
      <c r="CT57" s="37"/>
      <c r="CU57" s="21" t="n">
        <v>138080.58</v>
      </c>
      <c r="CV57" s="21" t="n">
        <v>206964.42</v>
      </c>
      <c r="CW57" s="21"/>
      <c r="CX57" s="37"/>
      <c r="CY57" s="21" t="n">
        <v>192225.7</v>
      </c>
      <c r="CZ57" s="21" t="n">
        <v>184891.08</v>
      </c>
      <c r="DB57" s="21" t="n">
        <v>141446.54</v>
      </c>
      <c r="DC57" s="21"/>
      <c r="DD57" s="21" t="n">
        <v>141446.54</v>
      </c>
      <c r="DF57" s="21" t="n">
        <v>206964.42</v>
      </c>
      <c r="DG57" s="21"/>
      <c r="DI57" s="21" t="n">
        <v>295862.04</v>
      </c>
      <c r="DJ57" s="21"/>
      <c r="DK57" s="21" t="n">
        <v>307883.46</v>
      </c>
      <c r="DL57" s="26" t="n">
        <v>206964.42</v>
      </c>
      <c r="DM57" s="21"/>
      <c r="DO57" s="37" t="n">
        <v>299866.64</v>
      </c>
      <c r="DP57" s="37" t="n">
        <v>298784.7</v>
      </c>
      <c r="DQ57" s="21" t="n">
        <v>298513.26</v>
      </c>
      <c r="DR57" s="21"/>
      <c r="DS57" s="21" t="n">
        <v>218503.64</v>
      </c>
      <c r="DT57" s="25" t="n">
        <v>218449.8</v>
      </c>
      <c r="DU57" s="21"/>
      <c r="DV57" s="21" t="n">
        <v>297382.24</v>
      </c>
      <c r="DW57" s="21" t="n">
        <v>218467.36</v>
      </c>
      <c r="DX57" s="21" t="n">
        <v>218449.8</v>
      </c>
      <c r="DY57" s="21"/>
      <c r="EB57" s="41" t="n">
        <v>225819.92</v>
      </c>
    </row>
    <row r="58" customFormat="false" ht="12.8" hidden="false" customHeight="false" outlineLevel="0" collapsed="false">
      <c r="A58" s="1" t="s">
        <v>263</v>
      </c>
      <c r="J58" s="21"/>
      <c r="K58" s="21"/>
      <c r="O58" s="1" t="n">
        <v>3239000</v>
      </c>
      <c r="P58" s="1" t="n">
        <v>662000</v>
      </c>
      <c r="Q58" s="1" t="n">
        <v>635000</v>
      </c>
      <c r="R58" s="1" t="n">
        <v>382000</v>
      </c>
      <c r="S58" s="35" t="n">
        <v>3239287.04</v>
      </c>
      <c r="T58" s="35" t="n">
        <v>3239287.04</v>
      </c>
      <c r="U58" s="35"/>
      <c r="V58" s="21" t="n">
        <v>381511.72</v>
      </c>
      <c r="W58" s="21" t="n">
        <v>632674.78</v>
      </c>
      <c r="X58" s="35"/>
      <c r="Y58" s="35"/>
      <c r="Z58" s="35"/>
      <c r="AA58" s="35"/>
      <c r="AB58" s="35"/>
      <c r="AC58" s="21" t="n">
        <v>381994.78</v>
      </c>
      <c r="AD58" s="21" t="n">
        <v>623247.36</v>
      </c>
      <c r="AE58" s="35"/>
      <c r="AF58" s="35"/>
      <c r="AG58" s="35"/>
      <c r="AH58" s="35"/>
      <c r="AI58" s="35"/>
      <c r="AJ58" s="21" t="n">
        <v>481831.3</v>
      </c>
      <c r="AK58" s="21" t="n">
        <v>974263.44</v>
      </c>
      <c r="AL58" s="21"/>
      <c r="AM58" s="21" t="n">
        <v>381480.42</v>
      </c>
      <c r="AN58" s="21" t="n">
        <v>632692.34</v>
      </c>
      <c r="AO58" s="35"/>
      <c r="AP58" s="35"/>
      <c r="AQ58" s="20"/>
      <c r="AR58" s="35" t="n">
        <v>663108.24</v>
      </c>
      <c r="AS58" s="35" t="n">
        <v>663124.76</v>
      </c>
      <c r="AT58" s="35" t="n">
        <v>662847.08</v>
      </c>
      <c r="AU58" s="35" t="n">
        <v>662847.08</v>
      </c>
      <c r="AV58" s="2"/>
      <c r="AW58" s="2"/>
      <c r="AX58" s="38" t="n">
        <v>663093.44</v>
      </c>
      <c r="AY58" s="38"/>
      <c r="AZ58" s="38" t="n">
        <v>663096.2</v>
      </c>
      <c r="BA58" s="38" t="n">
        <v>662424.28</v>
      </c>
      <c r="BB58" s="26" t="n">
        <v>662424.28</v>
      </c>
      <c r="BC58" s="26"/>
      <c r="BD58" s="36" t="n">
        <v>661124.18</v>
      </c>
      <c r="BE58" s="36"/>
      <c r="BF58" s="37" t="n">
        <v>650378.5</v>
      </c>
      <c r="BG58" s="37"/>
      <c r="BH58" s="37" t="n">
        <v>663076.6</v>
      </c>
      <c r="BI58" s="37"/>
      <c r="BJ58" s="37" t="n">
        <v>663064.12</v>
      </c>
      <c r="BK58" s="26"/>
      <c r="BM58" s="26" t="n">
        <v>698885.84</v>
      </c>
      <c r="BN58" s="26"/>
      <c r="BO58" s="26" t="n">
        <v>709441.44</v>
      </c>
      <c r="BP58" s="26"/>
      <c r="BQ58" s="26" t="n">
        <v>707453.42</v>
      </c>
      <c r="BR58" s="38" t="n">
        <v>698885.84</v>
      </c>
      <c r="BS58" s="38"/>
      <c r="BT58" s="38" t="n">
        <v>698885.84</v>
      </c>
      <c r="BU58" s="38"/>
      <c r="BV58" s="26" t="n">
        <v>709824.08</v>
      </c>
      <c r="BW58" s="21" t="n">
        <v>650378.5</v>
      </c>
      <c r="BX58" s="26"/>
      <c r="BY58" s="37" t="n">
        <v>709441.44</v>
      </c>
      <c r="BZ58" s="37"/>
      <c r="CA58" s="37" t="n">
        <v>709824.08</v>
      </c>
      <c r="CB58" s="21" t="n">
        <v>650378.5</v>
      </c>
      <c r="CC58" s="37"/>
      <c r="CD58" s="26"/>
      <c r="CE58" s="38" t="n">
        <v>625904.74</v>
      </c>
      <c r="CF58" s="21" t="n">
        <v>625686.48</v>
      </c>
      <c r="CG58" s="38" t="n">
        <v>625723.08</v>
      </c>
      <c r="CH58" s="38"/>
      <c r="CI58" s="38" t="n">
        <v>625702.24</v>
      </c>
      <c r="CJ58" s="26" t="n">
        <v>625904.74</v>
      </c>
      <c r="CK58" s="26"/>
      <c r="CL58" s="26" t="n">
        <v>625904.74</v>
      </c>
      <c r="CM58" s="26"/>
      <c r="CN58" s="26" t="n">
        <v>625686.48</v>
      </c>
      <c r="CO58" s="21" t="n">
        <v>649756.86</v>
      </c>
      <c r="CS58" s="38" t="n">
        <v>698885.88</v>
      </c>
      <c r="CT58" s="38"/>
      <c r="CU58" s="21" t="n">
        <v>709823.52</v>
      </c>
      <c r="CV58" s="21" t="n">
        <v>650378.5</v>
      </c>
      <c r="CW58" s="21"/>
      <c r="CX58" s="38"/>
      <c r="CY58" s="26" t="n">
        <v>625904.6</v>
      </c>
      <c r="CZ58" s="26" t="n">
        <v>625686.3</v>
      </c>
      <c r="DB58" s="26" t="n">
        <v>704223.3</v>
      </c>
      <c r="DC58" s="26"/>
      <c r="DD58" s="37" t="n">
        <v>704223.3</v>
      </c>
      <c r="DF58" s="21" t="n">
        <v>650378.5</v>
      </c>
      <c r="DG58" s="37"/>
      <c r="DI58" s="26" t="n">
        <v>678217.78</v>
      </c>
      <c r="DJ58" s="26"/>
      <c r="DK58" s="37" t="n">
        <v>746977.24</v>
      </c>
      <c r="DL58" s="21" t="n">
        <v>650378.5</v>
      </c>
      <c r="DM58" s="37"/>
      <c r="DO58" s="38" t="n">
        <v>825682.58</v>
      </c>
      <c r="DP58" s="38" t="n">
        <v>787964.48</v>
      </c>
      <c r="DQ58" s="26" t="n">
        <v>788063.76</v>
      </c>
      <c r="DR58" s="26"/>
      <c r="DS58" s="26" t="n">
        <v>661124.18</v>
      </c>
      <c r="DT58" s="21" t="n">
        <v>661124.18</v>
      </c>
      <c r="DU58" s="26"/>
      <c r="DV58" s="26" t="n">
        <v>789183.84</v>
      </c>
      <c r="DW58" s="26" t="n">
        <v>661124.18</v>
      </c>
      <c r="DX58" s="21" t="n">
        <v>661124.18</v>
      </c>
      <c r="DY58" s="26"/>
      <c r="EB58" s="42" t="n">
        <v>662470.56</v>
      </c>
    </row>
    <row r="59" customFormat="false" ht="12.8" hidden="false" customHeight="false" outlineLevel="0" collapsed="false">
      <c r="J59" s="21"/>
      <c r="K59" s="21"/>
      <c r="S59" s="35"/>
      <c r="T59" s="35"/>
      <c r="U59" s="35"/>
      <c r="V59" s="21"/>
      <c r="W59" s="21"/>
      <c r="X59" s="35"/>
      <c r="Y59" s="35"/>
      <c r="Z59" s="35"/>
      <c r="AA59" s="35"/>
      <c r="AB59" s="35"/>
      <c r="AC59" s="21"/>
      <c r="AD59" s="21"/>
      <c r="AE59" s="35"/>
      <c r="AF59" s="35"/>
      <c r="AG59" s="35"/>
      <c r="AH59" s="35"/>
      <c r="AI59" s="35"/>
      <c r="AJ59" s="21"/>
      <c r="AK59" s="21"/>
      <c r="AL59" s="21"/>
      <c r="AM59" s="21"/>
      <c r="AN59" s="21"/>
      <c r="AO59" s="35"/>
      <c r="AP59" s="35"/>
      <c r="AQ59" s="20"/>
      <c r="AR59" s="35"/>
      <c r="AS59" s="35"/>
      <c r="AT59" s="35"/>
      <c r="AU59" s="35"/>
      <c r="AV59" s="2"/>
      <c r="AW59" s="2"/>
      <c r="AX59" s="38"/>
      <c r="AY59" s="38"/>
      <c r="AZ59" s="38"/>
      <c r="BA59" s="38"/>
      <c r="BB59" s="26"/>
      <c r="BC59" s="26"/>
      <c r="BD59" s="36"/>
      <c r="BE59" s="36"/>
      <c r="BF59" s="37"/>
      <c r="BG59" s="37"/>
      <c r="BH59" s="37"/>
      <c r="BI59" s="37"/>
      <c r="BJ59" s="37"/>
      <c r="BK59" s="26"/>
      <c r="BM59" s="26"/>
      <c r="BN59" s="26"/>
      <c r="BO59" s="26"/>
      <c r="BP59" s="26"/>
      <c r="BQ59" s="26"/>
      <c r="BR59" s="38"/>
      <c r="BS59" s="38"/>
      <c r="BT59" s="38"/>
      <c r="BU59" s="38"/>
      <c r="BV59" s="26"/>
      <c r="BW59" s="21"/>
      <c r="BX59" s="26"/>
      <c r="BY59" s="37"/>
      <c r="BZ59" s="37"/>
      <c r="CA59" s="37"/>
      <c r="CB59" s="21"/>
      <c r="CC59" s="37"/>
      <c r="CD59" s="26"/>
      <c r="CE59" s="38"/>
      <c r="CF59" s="21"/>
      <c r="CG59" s="38"/>
      <c r="CH59" s="38"/>
      <c r="CI59" s="38"/>
      <c r="CJ59" s="26"/>
      <c r="CK59" s="26"/>
      <c r="CL59" s="26"/>
      <c r="CM59" s="26"/>
      <c r="CN59" s="26"/>
      <c r="CO59" s="21"/>
      <c r="CS59" s="38"/>
      <c r="CT59" s="38"/>
      <c r="CU59" s="21"/>
      <c r="CV59" s="21"/>
      <c r="CW59" s="21"/>
      <c r="CX59" s="38"/>
      <c r="CY59" s="26"/>
      <c r="CZ59" s="26"/>
      <c r="DB59" s="26"/>
      <c r="DC59" s="26"/>
      <c r="DD59" s="37"/>
      <c r="DF59" s="21"/>
      <c r="DG59" s="37"/>
      <c r="DI59" s="26"/>
      <c r="DJ59" s="26"/>
      <c r="DK59" s="37"/>
      <c r="DL59" s="21"/>
      <c r="DM59" s="37"/>
      <c r="DO59" s="38"/>
      <c r="DP59" s="38"/>
      <c r="DQ59" s="26"/>
      <c r="DR59" s="26"/>
      <c r="DS59" s="26"/>
      <c r="DT59" s="21"/>
      <c r="DU59" s="26"/>
      <c r="DV59" s="26"/>
      <c r="DW59" s="26"/>
      <c r="DX59" s="21"/>
      <c r="DY59" s="26"/>
      <c r="EB59" s="42"/>
    </row>
    <row r="60" customFormat="false" ht="12.8" hidden="false" customHeight="false" outlineLevel="0" collapsed="false">
      <c r="A60" s="1" t="s">
        <v>264</v>
      </c>
      <c r="J60" s="21"/>
      <c r="K60" s="21"/>
      <c r="S60" s="35"/>
      <c r="T60" s="35"/>
      <c r="U60" s="35"/>
      <c r="V60" s="21"/>
      <c r="W60" s="21" t="n">
        <v>488470.12</v>
      </c>
      <c r="X60" s="25" t="n">
        <v>14183.58</v>
      </c>
      <c r="Y60" s="35"/>
      <c r="Z60" s="35"/>
      <c r="AA60" s="35"/>
      <c r="AB60" s="35"/>
      <c r="AC60" s="21"/>
      <c r="AD60" s="21" t="n">
        <v>465252.4</v>
      </c>
      <c r="AE60" s="21" t="n">
        <v>14515.42</v>
      </c>
      <c r="AF60" s="35"/>
      <c r="AG60" s="35"/>
      <c r="AH60" s="35"/>
      <c r="AI60" s="35"/>
      <c r="AJ60" s="21"/>
      <c r="AK60" s="21" t="n">
        <v>724051.14</v>
      </c>
      <c r="AL60" s="21" t="n">
        <v>17335.86</v>
      </c>
      <c r="AM60" s="21"/>
      <c r="AN60" s="21" t="n">
        <v>430118.62</v>
      </c>
      <c r="AO60" s="21" t="n">
        <v>14137.18</v>
      </c>
      <c r="AP60" s="35"/>
      <c r="AQ60" s="20"/>
      <c r="AR60" s="35"/>
      <c r="AS60" s="35"/>
      <c r="AT60" s="35"/>
      <c r="AU60" s="35"/>
      <c r="AV60" s="2"/>
      <c r="AW60" s="21" t="n">
        <v>340720.4</v>
      </c>
      <c r="AX60" s="21" t="n">
        <v>899892.08</v>
      </c>
      <c r="AY60" s="38"/>
      <c r="AZ60" s="38"/>
      <c r="BA60" s="21" t="n">
        <v>786440.4</v>
      </c>
      <c r="BB60" s="26"/>
      <c r="BC60" s="26"/>
      <c r="BD60" s="21" t="n">
        <v>847747.96</v>
      </c>
      <c r="BE60" s="21" t="n">
        <v>320494</v>
      </c>
      <c r="BF60" s="21" t="n">
        <v>857506.12</v>
      </c>
      <c r="BG60" s="21" t="n">
        <v>296645.32</v>
      </c>
      <c r="BH60" s="21" t="n">
        <v>861531.08</v>
      </c>
      <c r="BI60" s="21" t="n">
        <v>349227.9</v>
      </c>
      <c r="BJ60" s="21" t="n">
        <v>866084.74</v>
      </c>
      <c r="BK60" s="26"/>
      <c r="BM60" s="26"/>
      <c r="BN60" s="26"/>
      <c r="BO60" s="26"/>
      <c r="BP60" s="26"/>
      <c r="BQ60" s="26"/>
      <c r="BR60" s="38"/>
      <c r="BS60" s="38"/>
      <c r="BT60" s="21" t="n">
        <v>804346.64</v>
      </c>
      <c r="BU60" s="21" t="n">
        <v>219013.9</v>
      </c>
      <c r="BV60" s="2"/>
      <c r="BW60" s="21" t="n">
        <v>857506.12</v>
      </c>
      <c r="BX60" s="21" t="n">
        <v>300806.86</v>
      </c>
      <c r="BY60" s="21" t="n">
        <v>803716.52</v>
      </c>
      <c r="BZ60" s="21" t="n">
        <v>212803.62</v>
      </c>
      <c r="CA60" s="2"/>
      <c r="CB60" s="21" t="n">
        <v>857506.12</v>
      </c>
      <c r="CC60" s="32" t="n">
        <v>300806.86</v>
      </c>
      <c r="CD60" s="26"/>
      <c r="CE60" s="38"/>
      <c r="CF60" s="21"/>
      <c r="CG60" s="38"/>
      <c r="CH60" s="38"/>
      <c r="CI60" s="38"/>
      <c r="CJ60" s="26"/>
      <c r="CK60" s="26"/>
      <c r="CL60" s="21" t="n">
        <v>746877.6</v>
      </c>
      <c r="CM60" s="21" t="n">
        <v>267261.84</v>
      </c>
      <c r="CN60" s="2"/>
      <c r="CO60" s="21" t="n">
        <v>766251.24</v>
      </c>
      <c r="CP60" s="21" t="n">
        <v>337135.74</v>
      </c>
      <c r="CS60" s="21" t="n">
        <v>802857.84</v>
      </c>
      <c r="CT60" s="21" t="n">
        <v>219037.52</v>
      </c>
      <c r="CU60" s="2"/>
      <c r="CV60" s="21" t="n">
        <v>857506.12</v>
      </c>
      <c r="CW60" s="32" t="n">
        <v>300806.86</v>
      </c>
      <c r="CX60" s="38"/>
      <c r="CY60" s="26"/>
      <c r="CZ60" s="26"/>
      <c r="DB60" s="21" t="n">
        <v>804346.64</v>
      </c>
      <c r="DC60" s="21" t="n">
        <v>218903.2</v>
      </c>
      <c r="DD60" s="2"/>
      <c r="DF60" s="21" t="n">
        <v>857506.12</v>
      </c>
      <c r="DG60" s="32" t="n">
        <v>300806.86</v>
      </c>
      <c r="DI60" s="26" t="n">
        <v>1089485.94</v>
      </c>
      <c r="DJ60" s="21" t="n">
        <v>452466.42</v>
      </c>
      <c r="DK60" s="2"/>
      <c r="DL60" s="21" t="n">
        <v>857506.12</v>
      </c>
      <c r="DM60" s="32" t="n">
        <v>300806.86</v>
      </c>
      <c r="DO60" s="38"/>
      <c r="DP60" s="38"/>
      <c r="DQ60" s="21" t="n">
        <v>1034660.12</v>
      </c>
      <c r="DR60" s="21" t="n">
        <v>425093.58</v>
      </c>
      <c r="DS60" s="2"/>
      <c r="DT60" s="21" t="n">
        <v>848758.44</v>
      </c>
      <c r="DU60" s="21" t="n">
        <v>330788.98</v>
      </c>
      <c r="DV60" s="21" t="n">
        <v>901941.88</v>
      </c>
      <c r="DW60" s="2"/>
      <c r="DX60" s="21" t="n">
        <v>848578.24</v>
      </c>
      <c r="DY60" s="21" t="n">
        <v>330643.08</v>
      </c>
      <c r="EB60" s="42"/>
    </row>
    <row r="61" customFormat="false" ht="12.8" hidden="false" customHeight="false" outlineLevel="0" collapsed="false">
      <c r="A61" s="1" t="s">
        <v>265</v>
      </c>
      <c r="J61" s="21"/>
      <c r="K61" s="21"/>
      <c r="S61" s="35"/>
      <c r="T61" s="35"/>
      <c r="U61" s="35"/>
      <c r="V61" s="21"/>
      <c r="W61" s="21" t="n">
        <v>763984.78</v>
      </c>
      <c r="X61" s="21" t="n">
        <v>156506.32</v>
      </c>
      <c r="Y61" s="35"/>
      <c r="Z61" s="35"/>
      <c r="AA61" s="35"/>
      <c r="AB61" s="35"/>
      <c r="AC61" s="21"/>
      <c r="AD61" s="21" t="n">
        <v>787901.18</v>
      </c>
      <c r="AE61" s="21" t="n">
        <v>159269.38</v>
      </c>
      <c r="AF61" s="35"/>
      <c r="AG61" s="35"/>
      <c r="AH61" s="35"/>
      <c r="AI61" s="35"/>
      <c r="AJ61" s="21"/>
      <c r="AK61" s="21" t="n">
        <v>1194139.66</v>
      </c>
      <c r="AL61" s="21" t="n">
        <v>210410.08</v>
      </c>
      <c r="AM61" s="21"/>
      <c r="AN61" s="21" t="n">
        <v>751379.98</v>
      </c>
      <c r="AO61" s="38" t="n">
        <v>156527.8</v>
      </c>
      <c r="AP61" s="35"/>
      <c r="AQ61" s="20"/>
      <c r="AR61" s="35"/>
      <c r="AS61" s="35"/>
      <c r="AT61" s="35"/>
      <c r="AU61" s="35"/>
      <c r="AV61" s="2"/>
      <c r="AW61" s="21" t="n">
        <v>669732.68</v>
      </c>
      <c r="AX61" s="21" t="n">
        <v>695064</v>
      </c>
      <c r="AY61" s="38"/>
      <c r="AZ61" s="38"/>
      <c r="BA61" s="21" t="n">
        <v>685032.16</v>
      </c>
      <c r="BB61" s="26"/>
      <c r="BC61" s="26"/>
      <c r="BD61" s="21" t="n">
        <v>692032.62</v>
      </c>
      <c r="BE61" s="21" t="n">
        <v>669585.92</v>
      </c>
      <c r="BF61" s="21" t="n">
        <v>679771.56</v>
      </c>
      <c r="BG61" s="21" t="n">
        <v>657650.26</v>
      </c>
      <c r="BH61" s="21" t="n">
        <v>694137.14</v>
      </c>
      <c r="BI61" s="21" t="n">
        <v>669993.68</v>
      </c>
      <c r="BJ61" s="21" t="n">
        <v>694861.94</v>
      </c>
      <c r="BK61" s="26"/>
      <c r="BM61" s="26"/>
      <c r="BN61" s="26"/>
      <c r="BO61" s="26"/>
      <c r="BP61" s="26"/>
      <c r="BQ61" s="26"/>
      <c r="BR61" s="38"/>
      <c r="BS61" s="38"/>
      <c r="BT61" s="21" t="n">
        <v>669870.88</v>
      </c>
      <c r="BU61" s="21" t="n">
        <v>672259.18</v>
      </c>
      <c r="BV61" s="2"/>
      <c r="BW61" s="26" t="n">
        <v>679771.56</v>
      </c>
      <c r="BX61" s="26" t="n">
        <v>657634.88</v>
      </c>
      <c r="BY61" s="21" t="n">
        <v>669727.32</v>
      </c>
      <c r="BZ61" s="21" t="n">
        <v>675108.8</v>
      </c>
      <c r="CA61" s="2"/>
      <c r="CB61" s="26" t="n">
        <v>679771.56</v>
      </c>
      <c r="CC61" s="29" t="n">
        <v>657634.88</v>
      </c>
      <c r="CD61" s="26"/>
      <c r="CE61" s="38"/>
      <c r="CF61" s="21"/>
      <c r="CG61" s="38"/>
      <c r="CH61" s="38"/>
      <c r="CI61" s="38"/>
      <c r="CJ61" s="26"/>
      <c r="CK61" s="26"/>
      <c r="CL61" s="21" t="n">
        <v>655549.44</v>
      </c>
      <c r="CM61" s="21" t="n">
        <v>634996.82</v>
      </c>
      <c r="CN61" s="2"/>
      <c r="CO61" s="25" t="n">
        <v>667290.94</v>
      </c>
      <c r="CP61" s="25" t="n">
        <v>655843.88</v>
      </c>
      <c r="CS61" s="21" t="n">
        <v>669571.24</v>
      </c>
      <c r="CT61" s="21" t="n">
        <v>671967.04</v>
      </c>
      <c r="CU61" s="2"/>
      <c r="CV61" s="25" t="n">
        <v>679771.56</v>
      </c>
      <c r="CW61" s="30" t="n">
        <v>657634.88</v>
      </c>
      <c r="CX61" s="38"/>
      <c r="CY61" s="26"/>
      <c r="CZ61" s="26"/>
      <c r="DB61" s="21" t="n">
        <v>669848.06</v>
      </c>
      <c r="DC61" s="21" t="n">
        <v>672930.84</v>
      </c>
      <c r="DD61" s="2"/>
      <c r="DF61" s="25" t="n">
        <v>679771.56</v>
      </c>
      <c r="DG61" s="30" t="n">
        <v>657634.88</v>
      </c>
      <c r="DI61" s="21" t="n">
        <v>738031.16</v>
      </c>
      <c r="DJ61" s="21" t="n">
        <v>682476.76</v>
      </c>
      <c r="DK61" s="2"/>
      <c r="DL61" s="26" t="n">
        <v>679771.56</v>
      </c>
      <c r="DM61" s="29" t="n">
        <v>657634.88</v>
      </c>
      <c r="DO61" s="38"/>
      <c r="DP61" s="38"/>
      <c r="DQ61" s="21" t="n">
        <v>832669.42</v>
      </c>
      <c r="DR61" s="21" t="n">
        <v>794986.32</v>
      </c>
      <c r="DS61" s="2"/>
      <c r="DT61" s="21" t="n">
        <v>692032.62</v>
      </c>
      <c r="DU61" s="21" t="n">
        <v>671288.7</v>
      </c>
      <c r="DV61" s="21" t="n">
        <v>815172.38</v>
      </c>
      <c r="DW61" s="2"/>
      <c r="DX61" s="21" t="n">
        <v>692032.62</v>
      </c>
      <c r="DY61" s="21" t="n">
        <v>671288.7</v>
      </c>
      <c r="EB61" s="42"/>
    </row>
    <row r="62" customFormat="false" ht="12.8" hidden="false" customHeight="false" outlineLevel="0" collapsed="false">
      <c r="J62" s="21"/>
      <c r="K62" s="21"/>
    </row>
    <row r="63" customFormat="false" ht="12.8" hidden="false" customHeight="false" outlineLevel="0" collapsed="false">
      <c r="A63" s="1" t="s">
        <v>266</v>
      </c>
    </row>
    <row r="64" customFormat="false" ht="12.8" hidden="false" customHeight="false" outlineLevel="0" collapsed="false">
      <c r="A64" s="1" t="s">
        <v>267</v>
      </c>
    </row>
    <row r="66" customFormat="false" ht="12.8" hidden="false" customHeight="false" outlineLevel="0" collapsed="false">
      <c r="A66" s="1" t="s">
        <v>268</v>
      </c>
      <c r="BL66" s="2"/>
      <c r="EF66" s="21"/>
      <c r="EG66" s="21"/>
      <c r="EH66" s="21"/>
      <c r="EI66" s="21"/>
      <c r="EJ66" s="21"/>
      <c r="EK66" s="21"/>
      <c r="EL66" s="21"/>
      <c r="EM66" s="21"/>
      <c r="EN66" s="21"/>
      <c r="EO66" s="21"/>
      <c r="EQ66" s="21"/>
      <c r="ER66" s="21"/>
      <c r="ES66" s="21"/>
      <c r="ET66" s="21"/>
      <c r="EU66" s="21"/>
    </row>
    <row r="67" customFormat="false" ht="12.8" hidden="false" customHeight="false" outlineLevel="0" collapsed="false">
      <c r="A67" s="1" t="s">
        <v>269</v>
      </c>
      <c r="O67" s="1" t="n">
        <v>5322</v>
      </c>
      <c r="P67" s="1" t="n">
        <v>6556</v>
      </c>
      <c r="Q67" s="1" t="n">
        <v>5151</v>
      </c>
      <c r="R67" s="1" t="n">
        <v>6668</v>
      </c>
      <c r="S67" s="35" t="n">
        <v>5246.35535090505</v>
      </c>
      <c r="T67" s="35" t="n">
        <v>5246.35535090505</v>
      </c>
      <c r="U67" s="35"/>
      <c r="V67" s="37" t="n">
        <v>6052.80882819943</v>
      </c>
      <c r="W67" s="36" t="n">
        <v>6694.84153699587</v>
      </c>
      <c r="X67" s="35"/>
      <c r="Y67" s="35"/>
      <c r="Z67" s="35"/>
      <c r="AA67" s="35"/>
      <c r="AB67" s="35"/>
      <c r="AC67" s="37" t="n">
        <v>5396.07780247698</v>
      </c>
      <c r="AD67" s="37" t="n">
        <v>6231.3912353128</v>
      </c>
      <c r="AE67" s="35"/>
      <c r="AF67" s="35"/>
      <c r="AG67" s="35"/>
      <c r="AH67" s="35"/>
      <c r="AI67" s="35"/>
      <c r="AJ67" s="37" t="n">
        <v>7161.19307716736</v>
      </c>
      <c r="AK67" s="37" t="n">
        <v>7798.87869164814</v>
      </c>
      <c r="AL67" s="21"/>
      <c r="AM67" s="38" t="n">
        <v>6054.6951413147</v>
      </c>
      <c r="AN67" s="37" t="n">
        <v>6697.53413782153</v>
      </c>
      <c r="AO67" s="35"/>
      <c r="AP67" s="35"/>
      <c r="AR67" s="35" t="n">
        <v>6745.82089552239</v>
      </c>
      <c r="AS67" s="35" t="n">
        <v>6866.40203239124</v>
      </c>
      <c r="AT67" s="35" t="n">
        <v>6848.5265163544</v>
      </c>
      <c r="AU67" s="35" t="n">
        <v>6848.5265163544</v>
      </c>
      <c r="AX67" s="21" t="n">
        <v>6536.08955223881</v>
      </c>
      <c r="AZ67" s="35"/>
      <c r="BA67" s="21" t="n">
        <v>6533.11463956812</v>
      </c>
      <c r="BB67" s="35"/>
      <c r="BD67" s="25" t="n">
        <v>6475.4849158463</v>
      </c>
      <c r="BE67" s="25"/>
      <c r="BF67" s="21" t="n">
        <v>7037.02064147348</v>
      </c>
      <c r="BG67" s="21"/>
      <c r="BH67" s="21" t="n">
        <v>6589.54461733884</v>
      </c>
      <c r="BI67" s="21"/>
      <c r="BJ67" s="21" t="n">
        <v>6589.10606541759</v>
      </c>
      <c r="BL67" s="35" t="n">
        <v>5431.2330898698</v>
      </c>
      <c r="BT67" s="21" t="n">
        <v>4886.31184503017</v>
      </c>
      <c r="BU67" s="21"/>
      <c r="BV67" s="21" t="n">
        <v>4892.87837408701</v>
      </c>
      <c r="BW67" s="21" t="n">
        <v>7037.02064147348</v>
      </c>
      <c r="BX67" s="21"/>
      <c r="BY67" s="21" t="n">
        <v>4886.18894887266</v>
      </c>
      <c r="BZ67" s="21"/>
      <c r="CA67" s="21" t="n">
        <v>4892.87805652588</v>
      </c>
      <c r="CB67" s="21" t="n">
        <v>7037.02064147348</v>
      </c>
      <c r="CC67" s="21"/>
      <c r="CF67" s="2"/>
      <c r="CL67" s="21" t="n">
        <v>5858.22038742458</v>
      </c>
      <c r="CM67" s="21"/>
      <c r="CN67" s="21" t="n">
        <v>5845.25246109876</v>
      </c>
      <c r="CO67" s="21" t="n">
        <v>7027.50492219752</v>
      </c>
      <c r="CS67" s="21" t="n">
        <v>4893.28866306764</v>
      </c>
      <c r="CT67" s="21"/>
      <c r="CU67" s="21" t="n">
        <v>4893.0260400127</v>
      </c>
      <c r="CV67" s="21" t="n">
        <v>7037.02064147348</v>
      </c>
      <c r="CW67" s="21"/>
      <c r="DB67" s="21" t="n">
        <v>4839.74880914576</v>
      </c>
      <c r="DC67" s="21"/>
      <c r="DD67" s="21" t="n">
        <v>4839.74880914576</v>
      </c>
      <c r="DF67" s="21" t="n">
        <v>7037.02064147348</v>
      </c>
      <c r="DG67" s="21"/>
      <c r="DI67" s="26" t="n">
        <v>16393.5512861226</v>
      </c>
      <c r="DJ67" s="26"/>
      <c r="DK67" s="21" t="n">
        <v>8122.35947919975</v>
      </c>
      <c r="DL67" s="26" t="n">
        <v>7037.02064147348</v>
      </c>
      <c r="DM67" s="21"/>
      <c r="DQ67" s="21" t="n">
        <v>7488.95490631947</v>
      </c>
      <c r="DR67" s="2"/>
      <c r="DS67" s="21" t="n">
        <v>6475.4849158463</v>
      </c>
      <c r="DT67" s="25" t="n">
        <v>6475.4849158463</v>
      </c>
      <c r="DU67" s="21"/>
      <c r="DV67" s="21" t="n">
        <v>7228.55763734519</v>
      </c>
      <c r="DW67" s="21" t="n">
        <v>6475.4849158463</v>
      </c>
      <c r="DX67" s="21" t="n">
        <v>6475.4849158463</v>
      </c>
      <c r="DY67" s="21"/>
    </row>
    <row r="68" customFormat="false" ht="12.8" hidden="false" customHeight="false" outlineLevel="0" collapsed="false">
      <c r="A68" s="1" t="s">
        <v>270</v>
      </c>
      <c r="S68" s="35"/>
      <c r="T68" s="35"/>
      <c r="U68" s="35"/>
      <c r="V68" s="35"/>
      <c r="W68" s="25" t="n">
        <v>60994.1273420133</v>
      </c>
      <c r="X68" s="36" t="n">
        <v>7116.37694506193</v>
      </c>
      <c r="Y68" s="35"/>
      <c r="Z68" s="35"/>
      <c r="AA68" s="35"/>
      <c r="AB68" s="35"/>
      <c r="AC68" s="35"/>
      <c r="AD68" s="21" t="n">
        <v>64491.8069228326</v>
      </c>
      <c r="AE68" s="37" t="n">
        <v>6263.35979676088</v>
      </c>
      <c r="AF68" s="35"/>
      <c r="AG68" s="35"/>
      <c r="AH68" s="35"/>
      <c r="AI68" s="35"/>
      <c r="AJ68" s="35"/>
      <c r="AK68" s="21" t="n">
        <v>61604.4823753573</v>
      </c>
      <c r="AL68" s="37" t="n">
        <v>8406.14957129247</v>
      </c>
      <c r="AM68" s="35"/>
      <c r="AN68" s="26" t="n">
        <v>60569.1209907907</v>
      </c>
      <c r="AO68" s="38" t="n">
        <v>7089.40616068593</v>
      </c>
      <c r="AP68" s="35"/>
      <c r="AR68" s="35"/>
      <c r="AS68" s="35"/>
      <c r="AT68" s="35"/>
      <c r="AU68" s="35"/>
      <c r="BL68" s="35"/>
      <c r="BT68" s="21" t="n">
        <v>58089.0038107336</v>
      </c>
      <c r="BU68" s="21" t="n">
        <v>5309.3569387107</v>
      </c>
      <c r="BW68" s="26" t="n">
        <v>44620.6024134646</v>
      </c>
      <c r="BX68" s="26" t="n">
        <v>7499.07589711019</v>
      </c>
      <c r="BY68" s="26" t="n">
        <v>58011.374722134</v>
      </c>
      <c r="BZ68" s="21" t="n">
        <v>5297.03683709114</v>
      </c>
      <c r="CB68" s="26" t="n">
        <v>44620.6024134646</v>
      </c>
      <c r="CC68" s="29" t="n">
        <v>7499.07589711019</v>
      </c>
      <c r="CL68" s="21" t="n">
        <v>43752.7227691331</v>
      </c>
      <c r="CM68" s="21" t="n">
        <v>6148.27723086694</v>
      </c>
      <c r="CO68" s="25" t="n">
        <v>35070.1571927596</v>
      </c>
      <c r="CP68" s="25" t="n">
        <v>7528.56589393458</v>
      </c>
      <c r="CS68" s="21" t="n">
        <v>57638.5290568434</v>
      </c>
      <c r="CT68" s="21" t="n">
        <v>5288.7897745316</v>
      </c>
      <c r="CV68" s="25" t="n">
        <v>44620.6024134646</v>
      </c>
      <c r="CW68" s="30" t="n">
        <v>7499.07589711019</v>
      </c>
      <c r="DF68" s="25" t="n">
        <v>44620.6024134646</v>
      </c>
      <c r="DG68" s="30" t="n">
        <v>7499.07589711019</v>
      </c>
      <c r="DL68" s="26" t="n">
        <v>44620.6024134646</v>
      </c>
      <c r="DM68" s="29" t="n">
        <v>7499.07589711019</v>
      </c>
      <c r="DQ68" s="21" t="n">
        <v>35273.9079072722</v>
      </c>
      <c r="DR68" s="25" t="n">
        <v>8034.7742140362</v>
      </c>
      <c r="DT68" s="21" t="n">
        <v>34618.2629406161</v>
      </c>
      <c r="DU68" s="21" t="n">
        <v>6870.69831692601</v>
      </c>
    </row>
    <row r="69" customFormat="false" ht="12.8" hidden="false" customHeight="false" outlineLevel="0" collapsed="false">
      <c r="J69" s="21"/>
      <c r="K69" s="21"/>
    </row>
    <row r="70" customFormat="false" ht="12.8" hidden="false" customHeight="false" outlineLevel="0" collapsed="false">
      <c r="A70" s="1" t="s">
        <v>271</v>
      </c>
      <c r="O70" s="1" t="n">
        <f aca="false">AVERAGE(O49,O51,O57,O58,O67)</f>
        <v>773673.6</v>
      </c>
      <c r="P70" s="1" t="n">
        <f aca="false">AVERAGE(P49,P51,P57,P58,P67)</f>
        <v>204124.4</v>
      </c>
      <c r="Q70" s="1" t="n">
        <f aca="false">AVERAGE(Q49,Q51,Q57,Q58,Q67)</f>
        <v>191239.6</v>
      </c>
      <c r="S70" s="1" t="n">
        <f aca="false">AVERAGE(S49,S51,S57,S58,S67)</f>
        <v>773736.119070181</v>
      </c>
      <c r="T70" s="1" t="n">
        <f aca="false">AVERAGE(T49,T51,T57,T58,T67)</f>
        <v>773736.119070181</v>
      </c>
      <c r="AR70" s="1" t="n">
        <f aca="false">AVERAGE(AR49,AR51,AR57,AR58,AR67)</f>
        <v>202614.548179105</v>
      </c>
      <c r="AS70" s="1" t="n">
        <f aca="false">AVERAGE(AS49,AS51,AS57,AS58,AS67)</f>
        <v>203543.648406478</v>
      </c>
      <c r="AT70" s="1" t="n">
        <f aca="false">AVERAGE(AT49,AT51,AT57,AT58,AT67)</f>
        <v>203088.073303271</v>
      </c>
      <c r="AU70" s="1" t="n">
        <f aca="false">AVERAGE(AU49,AU51,AU57,AU58,AU67)</f>
        <v>203088.073303271</v>
      </c>
    </row>
    <row r="71" customFormat="false" ht="12.8" hidden="false" customHeight="false" outlineLevel="0" collapsed="false">
      <c r="A71" s="1" t="s">
        <v>272</v>
      </c>
      <c r="O71" s="1" t="n">
        <f aca="false">AVERAGE(O45,O49,O51,O57,O58,O67,)</f>
        <v>2652624</v>
      </c>
      <c r="P71" s="1" t="n">
        <f aca="false">AVERAGE(P45,P49,P51,P57,P58,P67,)</f>
        <v>1822803.14285714</v>
      </c>
      <c r="Q71" s="1" t="n">
        <f aca="false">AVERAGE(Q45,Q49,Q51,Q57,Q58,Q67,)</f>
        <v>1668028.28571429</v>
      </c>
      <c r="S71" s="1" t="n">
        <f aca="false">AVERAGE(S45,S49,S51,S57,S58,S67,)</f>
        <v>2652695.5064787</v>
      </c>
      <c r="T71" s="1" t="n">
        <f aca="false">AVERAGE(T45,T49,T51,T57,T58,T67,)</f>
        <v>2652695.5064787</v>
      </c>
      <c r="AR71" s="1" t="n">
        <f aca="false">AVERAGE(AR45,AR49,AR51,AR57,AR58,AR67,)</f>
        <v>1829677.08584222</v>
      </c>
      <c r="AS71" s="1" t="n">
        <f aca="false">AVERAGE(AS45,AS49,AS51,AS57,AS58,AS67,)</f>
        <v>1883269.02600463</v>
      </c>
      <c r="AT71" s="1" t="n">
        <f aca="false">AVERAGE(AT45,AT49,AT51,AT57,AT58,AT67,)</f>
        <v>1873862.59807377</v>
      </c>
      <c r="AU71" s="1" t="n">
        <f aca="false">AVERAGE(AU45,AU49,AU51,AU57,AU58,AU67,)</f>
        <v>1873862.59807377</v>
      </c>
    </row>
    <row r="76" customFormat="false" ht="12.8" hidden="false" customHeight="false" outlineLevel="0" collapsed="false">
      <c r="EJ76" s="2"/>
      <c r="EK76" s="2"/>
      <c r="EL76" s="2"/>
    </row>
    <row r="77" customFormat="false" ht="12.8" hidden="false" customHeight="false" outlineLevel="0" collapsed="false">
      <c r="EJ77" s="12"/>
      <c r="EK77" s="12"/>
      <c r="EL77" s="12"/>
    </row>
    <row r="81" customFormat="false" ht="12.8" hidden="false" customHeight="false" outlineLevel="0" collapsed="false">
      <c r="AR81" s="2"/>
      <c r="AS81" s="2"/>
      <c r="AT81" s="2"/>
      <c r="AU81" s="2"/>
      <c r="AX81" s="2"/>
      <c r="AY81" s="2"/>
      <c r="AZ81" s="2"/>
      <c r="BA81" s="2"/>
    </row>
    <row r="82" customFormat="false" ht="12.8" hidden="false" customHeight="false" outlineLevel="0" collapsed="false">
      <c r="AX82" s="2"/>
      <c r="AY82" s="2"/>
      <c r="AZ82" s="2"/>
      <c r="BA82" s="2"/>
      <c r="EN82" s="12"/>
      <c r="EP82" s="11"/>
    </row>
    <row r="83" customFormat="false" ht="12.8" hidden="false" customHeight="false" outlineLevel="0" collapsed="false">
      <c r="AR83" s="21"/>
      <c r="AX83" s="2"/>
      <c r="AY83" s="2"/>
      <c r="AZ83" s="2"/>
      <c r="BA83" s="2"/>
      <c r="EJ83" s="21"/>
      <c r="EK83" s="21"/>
      <c r="EL83" s="21"/>
      <c r="EP83" s="21"/>
    </row>
    <row r="84" customFormat="false" ht="12.8" hidden="false" customHeight="false" outlineLevel="0" collapsed="false">
      <c r="AR84" s="21"/>
      <c r="AS84" s="2"/>
      <c r="AX84" s="2"/>
      <c r="AY84" s="2"/>
      <c r="AZ84" s="2"/>
      <c r="BA84" s="2"/>
      <c r="EJ84" s="2"/>
      <c r="EK84" s="2"/>
      <c r="EL84" s="2"/>
      <c r="EP84" s="2"/>
    </row>
    <row r="85" customFormat="false" ht="12.8" hidden="false" customHeight="false" outlineLevel="0" collapsed="false">
      <c r="AX85" s="2"/>
      <c r="AY85" s="2"/>
      <c r="AZ85" s="2"/>
      <c r="BA85" s="2"/>
      <c r="EJ85" s="21"/>
      <c r="EK85" s="21"/>
      <c r="EL85" s="21"/>
      <c r="EP85" s="21"/>
    </row>
    <row r="86" customFormat="false" ht="12.8" hidden="false" customHeight="false" outlineLevel="0" collapsed="false">
      <c r="AR86" s="1" t="s">
        <v>138</v>
      </c>
      <c r="AS86" s="1" t="s">
        <v>277</v>
      </c>
      <c r="AT86" s="1" t="s">
        <v>278</v>
      </c>
      <c r="AU86" s="1" t="s">
        <v>279</v>
      </c>
      <c r="AX86" s="2"/>
      <c r="AY86" s="2"/>
      <c r="AZ86" s="2"/>
      <c r="BA86" s="2"/>
    </row>
    <row r="87" customFormat="false" ht="12.8" hidden="false" customHeight="false" outlineLevel="0" collapsed="false">
      <c r="AR87" s="21" t="n">
        <v>341.28</v>
      </c>
      <c r="AS87" s="21" t="n">
        <v>336.96</v>
      </c>
      <c r="AT87" s="21" t="n">
        <v>340.92</v>
      </c>
      <c r="AU87" s="21" t="n">
        <v>341.36</v>
      </c>
      <c r="AX87" s="2"/>
      <c r="AY87" s="2"/>
      <c r="AZ87" s="2"/>
      <c r="BA87" s="2"/>
    </row>
    <row r="88" customFormat="false" ht="12.8" hidden="false" customHeight="false" outlineLevel="0" collapsed="false">
      <c r="AR88" s="21"/>
      <c r="AS88" s="2"/>
      <c r="AT88" s="2"/>
      <c r="AU88" s="2"/>
      <c r="AX88" s="2"/>
      <c r="AY88" s="2"/>
      <c r="AZ88" s="2"/>
      <c r="BA88" s="2"/>
      <c r="EN88" s="21"/>
      <c r="EP88" s="2"/>
    </row>
    <row r="89" customFormat="false" ht="12.8" hidden="false" customHeight="false" outlineLevel="0" collapsed="false">
      <c r="AR89" s="21" t="n">
        <v>112691.32</v>
      </c>
      <c r="AS89" s="21" t="n">
        <v>113503.12</v>
      </c>
      <c r="AT89" s="21" t="n">
        <v>115892.32</v>
      </c>
      <c r="AU89" s="21" t="n">
        <v>113397.12</v>
      </c>
      <c r="AX89" s="2"/>
      <c r="AY89" s="2"/>
      <c r="AZ89" s="2"/>
      <c r="BA89" s="2"/>
      <c r="EN89" s="2"/>
      <c r="EP89" s="2"/>
    </row>
    <row r="90" customFormat="false" ht="12.8" hidden="false" customHeight="false" outlineLevel="0" collapsed="false">
      <c r="EN90" s="21"/>
      <c r="EP90"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16" activeCellId="1" sqref="DI16 C16"/>
    </sheetView>
  </sheetViews>
  <sheetFormatPr defaultColWidth="11.53515625" defaultRowHeight="12.8" zeroHeight="false" outlineLevelRow="0" outlineLevelCol="0"/>
  <cols>
    <col collapsed="false" customWidth="true" hidden="false" outlineLevel="0" max="1" min="1" style="2" width="28.75"/>
  </cols>
  <sheetData>
    <row r="2" customFormat="false" ht="12.8" hidden="false" customHeight="false" outlineLevel="0" collapsed="false">
      <c r="C2" s="2" t="s">
        <v>19</v>
      </c>
      <c r="D2" s="2" t="s">
        <v>280</v>
      </c>
    </row>
    <row r="3" customFormat="false" ht="12.8" hidden="false" customHeight="false" outlineLevel="0" collapsed="false">
      <c r="C3" s="5" t="s">
        <v>118</v>
      </c>
      <c r="D3" s="1" t="s">
        <v>138</v>
      </c>
      <c r="E3" s="1" t="s">
        <v>139</v>
      </c>
      <c r="F3" s="1" t="s">
        <v>140</v>
      </c>
      <c r="G3" s="7" t="s">
        <v>141</v>
      </c>
    </row>
    <row r="4" customFormat="false" ht="12.8" hidden="false" customHeight="false" outlineLevel="0" collapsed="false">
      <c r="A4" s="3" t="s">
        <v>281</v>
      </c>
    </row>
    <row r="5" customFormat="false" ht="12.8" hidden="false" customHeight="false" outlineLevel="0" collapsed="false">
      <c r="A5" s="1" t="s">
        <v>214</v>
      </c>
    </row>
    <row r="6" customFormat="false" ht="12.8" hidden="false" customHeight="false" outlineLevel="0" collapsed="false">
      <c r="A6" s="1" t="s">
        <v>252</v>
      </c>
    </row>
    <row r="7" customFormat="false" ht="12.8" hidden="false" customHeight="false" outlineLevel="0" collapsed="false">
      <c r="A7" s="1" t="s">
        <v>282</v>
      </c>
      <c r="C7" s="43" t="n">
        <v>684.052721581459</v>
      </c>
      <c r="D7" s="43" t="n">
        <v>712.43826887846</v>
      </c>
      <c r="E7" s="44" t="n">
        <v>676.54386572361</v>
      </c>
      <c r="F7" s="43" t="n">
        <v>790.856329123974</v>
      </c>
      <c r="G7" s="43" t="n">
        <v>714.333313083649</v>
      </c>
    </row>
    <row r="8" customFormat="false" ht="12.8" hidden="false" customHeight="false" outlineLevel="0" collapsed="false">
      <c r="A8" s="1"/>
    </row>
    <row r="9" customFormat="false" ht="12.8" hidden="false" customHeight="false" outlineLevel="0" collapsed="false">
      <c r="A9" s="1" t="s">
        <v>276</v>
      </c>
    </row>
    <row r="10" customFormat="false" ht="12.8" hidden="false" customHeight="false" outlineLevel="0" collapsed="false">
      <c r="A10" s="1" t="s">
        <v>256</v>
      </c>
    </row>
    <row r="11" customFormat="false" ht="12.8" hidden="false" customHeight="false" outlineLevel="0" collapsed="false">
      <c r="A11" s="1" t="s">
        <v>257</v>
      </c>
    </row>
    <row r="12" customFormat="false" ht="12.8" hidden="false" customHeight="false" outlineLevel="0" collapsed="false">
      <c r="A12" s="1" t="s">
        <v>258</v>
      </c>
      <c r="C12" s="45" t="n">
        <v>34.1211344003677</v>
      </c>
      <c r="D12" s="46" t="n">
        <v>13.4298436546326</v>
      </c>
      <c r="E12" s="45" t="n">
        <v>14.6293577003479</v>
      </c>
      <c r="F12" s="26" t="n">
        <v>16.2671138763428</v>
      </c>
      <c r="G12" s="26" t="n">
        <v>15.888842291832</v>
      </c>
    </row>
    <row r="13" customFormat="false" ht="12.8" hidden="false" customHeight="false" outlineLevel="0" collapsed="false">
      <c r="A13" s="1"/>
    </row>
    <row r="14" customFormat="false" ht="12.8" hidden="false" customHeight="false" outlineLevel="0" collapsed="false">
      <c r="A14" s="1" t="s">
        <v>260</v>
      </c>
    </row>
    <row r="15" customFormat="false" ht="12.8" hidden="false" customHeight="false" outlineLevel="0" collapsed="false">
      <c r="A15" s="1" t="s">
        <v>261</v>
      </c>
    </row>
    <row r="16" customFormat="false" ht="12.8" hidden="false" customHeight="false" outlineLevel="0" collapsed="false">
      <c r="A16" s="1" t="s">
        <v>262</v>
      </c>
    </row>
    <row r="17" customFormat="false" ht="12.8" hidden="false" customHeight="false" outlineLevel="0" collapsed="false">
      <c r="A17" s="1" t="s">
        <v>263</v>
      </c>
    </row>
    <row r="18" customFormat="false" ht="12.8" hidden="false" customHeight="false" outlineLevel="0" collapsed="false">
      <c r="A18" s="1"/>
    </row>
    <row r="19" customFormat="false" ht="12.8" hidden="false" customHeight="false" outlineLevel="0" collapsed="false">
      <c r="A19" s="1" t="s">
        <v>266</v>
      </c>
    </row>
    <row r="20" customFormat="false" ht="12.8" hidden="false" customHeight="false" outlineLevel="0" collapsed="false">
      <c r="A20" s="1" t="s">
        <v>267</v>
      </c>
    </row>
    <row r="21" customFormat="false" ht="12.8" hidden="false" customHeight="false" outlineLevel="0" collapsed="false">
      <c r="A21" s="1"/>
    </row>
    <row r="22" customFormat="false" ht="12.8" hidden="false" customHeight="false" outlineLevel="0" collapsed="false">
      <c r="A22" s="1" t="s">
        <v>268</v>
      </c>
    </row>
    <row r="23" customFormat="false" ht="12.8" hidden="false" customHeight="false" outlineLevel="0" collapsed="false">
      <c r="A23" s="1" t="s">
        <v>267</v>
      </c>
    </row>
    <row r="24" customFormat="false" ht="12.8" hidden="false" customHeight="false" outlineLevel="0" collapsed="false">
      <c r="A24" s="1"/>
    </row>
    <row r="25" customFormat="false" ht="12.8" hidden="false" customHeight="false" outlineLevel="0" collapsed="false">
      <c r="A25" s="1" t="s">
        <v>271</v>
      </c>
    </row>
    <row r="26" customFormat="false" ht="12.8" hidden="false" customHeight="false" outlineLevel="0" collapsed="false">
      <c r="A26" s="1" t="s">
        <v>272</v>
      </c>
    </row>
    <row r="29" customFormat="false" ht="12.8" hidden="false" customHeight="false" outlineLevel="0" collapsed="false">
      <c r="A29" s="3" t="s">
        <v>283</v>
      </c>
    </row>
    <row r="30" customFormat="false" ht="12.8" hidden="false" customHeight="false" outlineLevel="0" collapsed="false">
      <c r="A30" s="1" t="s">
        <v>214</v>
      </c>
    </row>
    <row r="31" customFormat="false" ht="12.8" hidden="false" customHeight="false" outlineLevel="0" collapsed="false">
      <c r="A31" s="1" t="s">
        <v>252</v>
      </c>
    </row>
    <row r="32" customFormat="false" ht="12.8" hidden="false" customHeight="false" outlineLevel="0" collapsed="false">
      <c r="A32" s="1" t="s">
        <v>282</v>
      </c>
      <c r="C32" s="44" t="n">
        <v>24529.6949119625</v>
      </c>
      <c r="D32" s="43" t="n">
        <v>19578.1430439508</v>
      </c>
      <c r="E32" s="47" t="n">
        <v>19049.1565588771</v>
      </c>
      <c r="F32" s="43" t="n">
        <v>18584.7486364329</v>
      </c>
      <c r="G32" s="43" t="n">
        <v>18216.3597551661</v>
      </c>
    </row>
    <row r="33" customFormat="false" ht="12.8" hidden="false" customHeight="false" outlineLevel="0" collapsed="false">
      <c r="A33" s="1"/>
    </row>
    <row r="34" customFormat="false" ht="12.8" hidden="false" customHeight="false" outlineLevel="0" collapsed="false">
      <c r="A34" s="1" t="s">
        <v>276</v>
      </c>
    </row>
    <row r="35" customFormat="false" ht="12.8" hidden="false" customHeight="false" outlineLevel="0" collapsed="false">
      <c r="A35" s="1" t="s">
        <v>256</v>
      </c>
    </row>
    <row r="36" customFormat="false" ht="12.8" hidden="false" customHeight="false" outlineLevel="0" collapsed="false">
      <c r="A36" s="1" t="s">
        <v>257</v>
      </c>
    </row>
    <row r="37" customFormat="false" ht="12.8" hidden="false" customHeight="false" outlineLevel="0" collapsed="false">
      <c r="A37" s="1" t="s">
        <v>258</v>
      </c>
      <c r="C37" s="46" t="n">
        <v>10586.6811481229</v>
      </c>
      <c r="D37" s="45" t="n">
        <v>8940.85410665637</v>
      </c>
      <c r="E37" s="45" t="n">
        <v>8252.47786874597</v>
      </c>
      <c r="F37" s="26" t="n">
        <v>7919.1084231114</v>
      </c>
      <c r="G37" s="26" t="n">
        <v>7783.67848711778</v>
      </c>
    </row>
    <row r="38" customFormat="false" ht="12.8" hidden="false" customHeight="false" outlineLevel="0" collapsed="false">
      <c r="A38" s="1"/>
    </row>
    <row r="39" customFormat="false" ht="12.8" hidden="false" customHeight="false" outlineLevel="0" collapsed="false">
      <c r="A39" s="1" t="s">
        <v>260</v>
      </c>
    </row>
    <row r="40" customFormat="false" ht="12.8" hidden="false" customHeight="false" outlineLevel="0" collapsed="false">
      <c r="A40" s="1" t="s">
        <v>261</v>
      </c>
    </row>
    <row r="41" customFormat="false" ht="12.8" hidden="false" customHeight="false" outlineLevel="0" collapsed="false">
      <c r="A41" s="1" t="s">
        <v>262</v>
      </c>
    </row>
    <row r="42" customFormat="false" ht="12.8" hidden="false" customHeight="false" outlineLevel="0" collapsed="false">
      <c r="A42" s="1" t="s">
        <v>263</v>
      </c>
    </row>
    <row r="43" customFormat="false" ht="12.8" hidden="false" customHeight="false" outlineLevel="0" collapsed="false">
      <c r="A43" s="1"/>
    </row>
    <row r="44" customFormat="false" ht="12.8" hidden="false" customHeight="false" outlineLevel="0" collapsed="false">
      <c r="A44" s="1" t="s">
        <v>266</v>
      </c>
    </row>
    <row r="45" customFormat="false" ht="12.8" hidden="false" customHeight="false" outlineLevel="0" collapsed="false">
      <c r="A45" s="1" t="s">
        <v>267</v>
      </c>
    </row>
    <row r="46" customFormat="false" ht="12.8" hidden="false" customHeight="false" outlineLevel="0" collapsed="false">
      <c r="A46" s="1"/>
    </row>
    <row r="47" customFormat="false" ht="12.8" hidden="false" customHeight="false" outlineLevel="0" collapsed="false">
      <c r="A47" s="1" t="s">
        <v>268</v>
      </c>
    </row>
    <row r="48" customFormat="false" ht="12.8" hidden="false" customHeight="false" outlineLevel="0" collapsed="false">
      <c r="A48" s="1" t="s">
        <v>267</v>
      </c>
    </row>
    <row r="49" customFormat="false" ht="12.8" hidden="false" customHeight="false" outlineLevel="0" collapsed="false">
      <c r="A49" s="1"/>
    </row>
    <row r="50" customFormat="false" ht="12.8" hidden="false" customHeight="false" outlineLevel="0" collapsed="false">
      <c r="A50" s="1" t="s">
        <v>271</v>
      </c>
    </row>
    <row r="51" customFormat="false" ht="12.8" hidden="false" customHeight="false" outlineLevel="0" collapsed="false">
      <c r="A51" s="1" t="s">
        <v>272</v>
      </c>
    </row>
    <row r="54" customFormat="false" ht="12.8" hidden="false" customHeight="false" outlineLevel="0" collapsed="false">
      <c r="A54" s="3" t="s">
        <v>284</v>
      </c>
    </row>
    <row r="55" customFormat="false" ht="12.8" hidden="false" customHeight="false" outlineLevel="0" collapsed="false">
      <c r="A55" s="1" t="s">
        <v>214</v>
      </c>
    </row>
    <row r="56" customFormat="false" ht="12.8" hidden="false" customHeight="false" outlineLevel="0" collapsed="false">
      <c r="A56" s="1" t="s">
        <v>252</v>
      </c>
    </row>
    <row r="57" customFormat="false" ht="12.8" hidden="false" customHeight="false" outlineLevel="0" collapsed="false">
      <c r="A57" s="1" t="s">
        <v>282</v>
      </c>
      <c r="C57" s="48" t="n">
        <v>241.46</v>
      </c>
      <c r="D57" s="48" t="n">
        <v>240.09</v>
      </c>
      <c r="E57" s="49" t="n">
        <v>77.49</v>
      </c>
      <c r="F57" s="48" t="n">
        <v>226.34</v>
      </c>
      <c r="G57" s="48" t="n">
        <v>204.92</v>
      </c>
    </row>
    <row r="58" customFormat="false" ht="12.8" hidden="false" customHeight="false" outlineLevel="0" collapsed="false">
      <c r="A58" s="1"/>
    </row>
    <row r="59" customFormat="false" ht="12.8" hidden="false" customHeight="false" outlineLevel="0" collapsed="false">
      <c r="A59" s="1" t="s">
        <v>276</v>
      </c>
    </row>
    <row r="60" customFormat="false" ht="12.8" hidden="false" customHeight="false" outlineLevel="0" collapsed="false">
      <c r="A60" s="1" t="s">
        <v>256</v>
      </c>
    </row>
    <row r="61" customFormat="false" ht="12.8" hidden="false" customHeight="false" outlineLevel="0" collapsed="false">
      <c r="A61" s="1" t="s">
        <v>257</v>
      </c>
    </row>
    <row r="62" customFormat="false" ht="12.8" hidden="false" customHeight="false" outlineLevel="0" collapsed="false">
      <c r="A62" s="1" t="s">
        <v>258</v>
      </c>
      <c r="C62" s="50" t="n">
        <v>4.21</v>
      </c>
      <c r="D62" s="51" t="n">
        <v>1.65</v>
      </c>
      <c r="E62" s="50" t="n">
        <v>2.11</v>
      </c>
      <c r="F62" s="42" t="n">
        <v>14.3</v>
      </c>
      <c r="G62" s="42" t="n">
        <v>1.22</v>
      </c>
    </row>
    <row r="63" customFormat="false" ht="12.8" hidden="false" customHeight="false" outlineLevel="0" collapsed="false">
      <c r="A63" s="1"/>
    </row>
    <row r="64" customFormat="false" ht="12.8" hidden="false" customHeight="false" outlineLevel="0" collapsed="false">
      <c r="A64" s="1" t="s">
        <v>260</v>
      </c>
    </row>
    <row r="65" customFormat="false" ht="12.8" hidden="false" customHeight="false" outlineLevel="0" collapsed="false">
      <c r="A65" s="1" t="s">
        <v>261</v>
      </c>
    </row>
    <row r="66" customFormat="false" ht="12.8" hidden="false" customHeight="false" outlineLevel="0" collapsed="false">
      <c r="A66" s="1" t="s">
        <v>262</v>
      </c>
    </row>
    <row r="67" customFormat="false" ht="12.8" hidden="false" customHeight="false" outlineLevel="0" collapsed="false">
      <c r="A67" s="1" t="s">
        <v>263</v>
      </c>
    </row>
    <row r="68" customFormat="false" ht="12.8" hidden="false" customHeight="false" outlineLevel="0" collapsed="false">
      <c r="A68" s="1"/>
    </row>
    <row r="69" customFormat="false" ht="12.8" hidden="false" customHeight="false" outlineLevel="0" collapsed="false">
      <c r="A69" s="1" t="s">
        <v>266</v>
      </c>
    </row>
    <row r="70" customFormat="false" ht="12.8" hidden="false" customHeight="false" outlineLevel="0" collapsed="false">
      <c r="A70" s="1" t="s">
        <v>267</v>
      </c>
    </row>
    <row r="71" customFormat="false" ht="12.8" hidden="false" customHeight="false" outlineLevel="0" collapsed="false">
      <c r="A71" s="1"/>
    </row>
    <row r="72" customFormat="false" ht="12.8" hidden="false" customHeight="false" outlineLevel="0" collapsed="false">
      <c r="A72" s="1" t="s">
        <v>268</v>
      </c>
    </row>
    <row r="73" customFormat="false" ht="12.8" hidden="false" customHeight="false" outlineLevel="0" collapsed="false">
      <c r="A73" s="1" t="s">
        <v>267</v>
      </c>
    </row>
    <row r="74" customFormat="false" ht="12.8" hidden="false" customHeight="false" outlineLevel="0" collapsed="false">
      <c r="A74" s="1"/>
    </row>
    <row r="75" customFormat="false" ht="12.8" hidden="false" customHeight="false" outlineLevel="0" collapsed="false">
      <c r="A75" s="1" t="s">
        <v>271</v>
      </c>
    </row>
    <row r="76" customFormat="false" ht="12.8" hidden="false" customHeight="false" outlineLevel="0" collapsed="false">
      <c r="A76" s="1" t="s">
        <v>272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V4" activePane="bottomRight" state="frozen"/>
      <selection pane="topLeft" activeCell="A1" activeCellId="0" sqref="A1"/>
      <selection pane="topRight" activeCell="V1" activeCellId="0" sqref="V1"/>
      <selection pane="bottomLeft" activeCell="A4" activeCellId="0" sqref="A4"/>
      <selection pane="bottomRight" activeCell="AH16" activeCellId="1" sqref="DI16 AH16"/>
    </sheetView>
  </sheetViews>
  <sheetFormatPr defaultColWidth="11.53515625" defaultRowHeight="12.8" zeroHeight="false" outlineLevelRow="0" outlineLevelCol="0"/>
  <cols>
    <col collapsed="false" customWidth="true" hidden="false" outlineLevel="0" max="1" min="1" style="1" width="36.01"/>
    <col collapsed="false" customWidth="true" hidden="false" outlineLevel="0" max="2" min="2" style="1" width="13.39"/>
    <col collapsed="false" customWidth="true" hidden="false" outlineLevel="0" max="3" min="3" style="1" width="13.91"/>
    <col collapsed="false" customWidth="true" hidden="false" outlineLevel="0" max="4" min="4" style="1" width="13.22"/>
    <col collapsed="false" customWidth="true" hidden="false" outlineLevel="0" max="5" min="5" style="1" width="13.56"/>
    <col collapsed="false" customWidth="true" hidden="false" outlineLevel="0" max="6" min="6" style="1" width="25.56"/>
    <col collapsed="false" customWidth="true" hidden="false" outlineLevel="0" max="7" min="7" style="1" width="13.73"/>
    <col collapsed="false" customWidth="true" hidden="false" outlineLevel="0" max="8" min="8" style="1" width="28.34"/>
    <col collapsed="false" customWidth="true" hidden="false" outlineLevel="0" max="9" min="9" style="1" width="27.65"/>
    <col collapsed="false" customWidth="true" hidden="false" outlineLevel="0" max="10" min="10" style="1" width="13.91"/>
    <col collapsed="false" customWidth="true" hidden="false" outlineLevel="0" max="11" min="11" style="1" width="13.03"/>
    <col collapsed="false" customWidth="true" hidden="false" outlineLevel="0" max="12" min="12" style="1" width="12.88"/>
    <col collapsed="false" customWidth="true" hidden="false" outlineLevel="0" max="13" min="13" style="1" width="13.39"/>
    <col collapsed="false" customWidth="true" hidden="false" outlineLevel="0" max="15" min="14" style="1" width="12.88"/>
    <col collapsed="false" customWidth="true" hidden="false" outlineLevel="0" max="17" min="16" style="1" width="13.22"/>
    <col collapsed="false" customWidth="true" hidden="false" outlineLevel="0" max="19" min="18" style="1" width="13.03"/>
    <col collapsed="false" customWidth="true" hidden="false" outlineLevel="0" max="20" min="20" style="1" width="12.51"/>
    <col collapsed="false" customWidth="true" hidden="false" outlineLevel="0" max="23" min="21" style="1" width="12.88"/>
    <col collapsed="false" customWidth="true" hidden="false" outlineLevel="0" max="24" min="24" style="1" width="13.56"/>
    <col collapsed="false" customWidth="true" hidden="false" outlineLevel="0" max="26" min="25" style="1" width="12.69"/>
    <col collapsed="false" customWidth="true" hidden="false" outlineLevel="0" max="27" min="27" style="1" width="14.43"/>
    <col collapsed="false" customWidth="true" hidden="false" outlineLevel="0" max="28" min="28" style="1" width="14.6"/>
    <col collapsed="false" customWidth="true" hidden="false" outlineLevel="0" max="29" min="29" style="1" width="13.56"/>
    <col collapsed="false" customWidth="true" hidden="false" outlineLevel="0" max="30" min="30" style="1" width="13.03"/>
    <col collapsed="false" customWidth="false" hidden="false" outlineLevel="0" max="31" min="31" style="1" width="11.53"/>
    <col collapsed="false" customWidth="true" hidden="false" outlineLevel="0" max="32" min="32" style="1" width="13.09"/>
    <col collapsed="false" customWidth="true" hidden="false" outlineLevel="0" max="34" min="33" style="1" width="12.93"/>
    <col collapsed="false" customWidth="false" hidden="false" outlineLevel="0" max="35" min="35" style="1" width="11.53"/>
    <col collapsed="false" customWidth="true" hidden="false" outlineLevel="0" max="36" min="36" style="1" width="12.76"/>
    <col collapsed="false" customWidth="false" hidden="false" outlineLevel="0" max="39" min="37" style="1" width="11.53"/>
    <col collapsed="false" customWidth="true" hidden="false" outlineLevel="0" max="40" min="40" style="1" width="13.09"/>
    <col collapsed="false" customWidth="true" hidden="false" outlineLevel="0" max="41" min="41" style="1" width="13.25"/>
    <col collapsed="false" customWidth="true" hidden="false" outlineLevel="0" max="42" min="42" style="1" width="12.76"/>
    <col collapsed="false" customWidth="true" hidden="false" outlineLevel="0" max="43" min="43" style="1" width="13.25"/>
    <col collapsed="false" customWidth="true" hidden="false" outlineLevel="0" max="44" min="44" style="1" width="13.09"/>
    <col collapsed="false" customWidth="true" hidden="false" outlineLevel="0" max="45" min="45" style="1" width="12.93"/>
    <col collapsed="false" customWidth="false" hidden="false" outlineLevel="0" max="46" min="46" style="1" width="11.53"/>
    <col collapsed="false" customWidth="true" hidden="false" outlineLevel="0" max="47" min="47" style="1" width="14.07"/>
    <col collapsed="false" customWidth="true" hidden="false" outlineLevel="0" max="48" min="48" style="1" width="12.76"/>
    <col collapsed="false" customWidth="true" hidden="false" outlineLevel="0" max="49" min="49" style="1" width="12.61"/>
    <col collapsed="false" customWidth="false" hidden="false" outlineLevel="0" max="50" min="50" style="1" width="11.53"/>
    <col collapsed="false" customWidth="true" hidden="false" outlineLevel="0" max="51" min="51" style="1" width="12.27"/>
    <col collapsed="false" customWidth="false" hidden="false" outlineLevel="0" max="52" min="52" style="1" width="11.53"/>
    <col collapsed="false" customWidth="true" hidden="false" outlineLevel="0" max="53" min="53" style="1" width="13.91"/>
    <col collapsed="false" customWidth="true" hidden="false" outlineLevel="0" max="54" min="54" style="1" width="13.73"/>
    <col collapsed="false" customWidth="true" hidden="false" outlineLevel="0" max="55" min="55" style="1" width="13.91"/>
    <col collapsed="false" customWidth="true" hidden="false" outlineLevel="0" max="56" min="56" style="1" width="13.56"/>
    <col collapsed="false" customWidth="true" hidden="false" outlineLevel="0" max="57" min="57" style="1" width="14.43"/>
    <col collapsed="false" customWidth="true" hidden="false" outlineLevel="0" max="58" min="58" style="1" width="13.73"/>
    <col collapsed="false" customWidth="true" hidden="false" outlineLevel="0" max="61" min="59" style="1" width="13.39"/>
    <col collapsed="false" customWidth="true" hidden="false" outlineLevel="0" max="62" min="62" style="1" width="13.91"/>
    <col collapsed="false" customWidth="false" hidden="false" outlineLevel="0" max="63" min="63" style="1" width="11.53"/>
    <col collapsed="false" customWidth="true" hidden="false" outlineLevel="0" max="64" min="64" style="1" width="13.73"/>
    <col collapsed="false" customWidth="true" hidden="false" outlineLevel="0" max="65" min="65" style="1" width="13.39"/>
    <col collapsed="false" customWidth="true" hidden="false" outlineLevel="0" max="66" min="66" style="1" width="14.43"/>
    <col collapsed="false" customWidth="true" hidden="false" outlineLevel="0" max="67" min="67" style="1" width="13.56"/>
    <col collapsed="false" customWidth="true" hidden="false" outlineLevel="0" max="68" min="68" style="1" width="13.03"/>
    <col collapsed="false" customWidth="false" hidden="false" outlineLevel="0" max="69" min="69" style="1" width="11.53"/>
    <col collapsed="false" customWidth="false" hidden="false" outlineLevel="0" max="16384" min="72" style="1" width="11.53"/>
  </cols>
  <sheetData>
    <row r="1" customFormat="false" ht="12.8" hidden="false" customHeight="false" outlineLevel="0" collapsed="false">
      <c r="A1" s="1" t="s">
        <v>0</v>
      </c>
      <c r="R1" s="1" t="s">
        <v>285</v>
      </c>
      <c r="T1" s="2"/>
      <c r="U1" s="2"/>
      <c r="V1" s="2"/>
      <c r="AF1" s="1" t="s">
        <v>286</v>
      </c>
      <c r="AG1" s="1" t="s">
        <v>286</v>
      </c>
      <c r="AH1" s="1" t="s">
        <v>286</v>
      </c>
      <c r="AJ1" s="1" t="s">
        <v>286</v>
      </c>
      <c r="AN1" s="1" t="s">
        <v>286</v>
      </c>
      <c r="AO1" s="1" t="s">
        <v>286</v>
      </c>
      <c r="AP1" s="1" t="s">
        <v>286</v>
      </c>
      <c r="AQ1" s="1" t="s">
        <v>286</v>
      </c>
      <c r="AR1" s="1" t="s">
        <v>286</v>
      </c>
      <c r="AS1" s="1" t="s">
        <v>286</v>
      </c>
      <c r="AU1" s="1" t="s">
        <v>286</v>
      </c>
      <c r="AV1" s="1" t="s">
        <v>286</v>
      </c>
      <c r="AW1" s="1" t="s">
        <v>286</v>
      </c>
      <c r="AY1" s="1" t="s">
        <v>286</v>
      </c>
      <c r="BA1" s="1" t="s">
        <v>287</v>
      </c>
      <c r="BC1" s="1" t="s">
        <v>288</v>
      </c>
      <c r="BL1" s="1" t="s">
        <v>289</v>
      </c>
      <c r="BN1" s="1" t="s">
        <v>290</v>
      </c>
    </row>
    <row r="2" customFormat="false" ht="12.8" hidden="false" customHeight="false" outlineLevel="0" collapsed="false">
      <c r="B2" s="1" t="s">
        <v>15</v>
      </c>
      <c r="D2" s="1" t="s">
        <v>16</v>
      </c>
      <c r="I2" s="1" t="s">
        <v>17</v>
      </c>
      <c r="O2" s="1" t="s">
        <v>18</v>
      </c>
      <c r="U2" s="1" t="s">
        <v>19</v>
      </c>
      <c r="AA2" s="1" t="s">
        <v>40</v>
      </c>
      <c r="AF2" s="4" t="s">
        <v>291</v>
      </c>
      <c r="AG2" s="4" t="s">
        <v>292</v>
      </c>
      <c r="AH2" s="4" t="s">
        <v>293</v>
      </c>
      <c r="AJ2" s="4" t="s">
        <v>294</v>
      </c>
      <c r="AN2" s="4" t="s">
        <v>295</v>
      </c>
      <c r="AO2" s="4" t="s">
        <v>296</v>
      </c>
      <c r="AP2" s="4" t="s">
        <v>297</v>
      </c>
      <c r="AQ2" s="4" t="s">
        <v>51</v>
      </c>
      <c r="AR2" s="4" t="s">
        <v>298</v>
      </c>
      <c r="AS2" s="4" t="s">
        <v>299</v>
      </c>
      <c r="AU2" s="4" t="s">
        <v>300</v>
      </c>
      <c r="AV2" s="4" t="s">
        <v>301</v>
      </c>
      <c r="AW2" s="4" t="s">
        <v>302</v>
      </c>
      <c r="AY2" s="4" t="s">
        <v>303</v>
      </c>
      <c r="BA2" s="4" t="s">
        <v>304</v>
      </c>
      <c r="BE2" s="4" t="s">
        <v>305</v>
      </c>
      <c r="BL2" s="1" t="s">
        <v>306</v>
      </c>
      <c r="BO2" s="1" t="s">
        <v>115</v>
      </c>
    </row>
    <row r="3" customFormat="false" ht="12.8" hidden="false" customHeight="false" outlineLevel="0" collapsed="false">
      <c r="B3" s="1" t="s">
        <v>107</v>
      </c>
      <c r="C3" s="1" t="s">
        <v>108</v>
      </c>
      <c r="D3" s="1" t="s">
        <v>107</v>
      </c>
      <c r="E3" s="1" t="s">
        <v>108</v>
      </c>
      <c r="F3" s="1" t="s">
        <v>109</v>
      </c>
      <c r="G3" s="1" t="s">
        <v>110</v>
      </c>
      <c r="H3" s="1" t="s">
        <v>111</v>
      </c>
      <c r="I3" s="1" t="s">
        <v>107</v>
      </c>
      <c r="J3" s="1" t="s">
        <v>108</v>
      </c>
      <c r="K3" s="1" t="s">
        <v>112</v>
      </c>
      <c r="L3" s="1" t="s">
        <v>110</v>
      </c>
      <c r="M3" s="1" t="s">
        <v>111</v>
      </c>
      <c r="N3" s="1" t="s">
        <v>113</v>
      </c>
      <c r="O3" s="1" t="s">
        <v>107</v>
      </c>
      <c r="P3" s="1" t="s">
        <v>114</v>
      </c>
      <c r="Q3" s="1" t="s">
        <v>115</v>
      </c>
      <c r="R3" s="1" t="s">
        <v>307</v>
      </c>
      <c r="S3" s="1" t="s">
        <v>308</v>
      </c>
      <c r="T3" s="7" t="s">
        <v>309</v>
      </c>
      <c r="U3" s="5" t="s">
        <v>117</v>
      </c>
      <c r="V3" s="5" t="s">
        <v>118</v>
      </c>
      <c r="W3" s="1" t="s">
        <v>310</v>
      </c>
      <c r="X3" s="1" t="s">
        <v>311</v>
      </c>
      <c r="AA3" s="4" t="s">
        <v>138</v>
      </c>
      <c r="AB3" s="1" t="s">
        <v>139</v>
      </c>
      <c r="AC3" s="1" t="s">
        <v>140</v>
      </c>
      <c r="AD3" s="7" t="s">
        <v>141</v>
      </c>
      <c r="AF3" s="8" t="s">
        <v>312</v>
      </c>
      <c r="AG3" s="8" t="s">
        <v>313</v>
      </c>
      <c r="AH3" s="8" t="s">
        <v>314</v>
      </c>
      <c r="AJ3" s="8" t="s">
        <v>315</v>
      </c>
      <c r="AK3" s="7" t="s">
        <v>316</v>
      </c>
      <c r="AL3" s="7" t="s">
        <v>317</v>
      </c>
      <c r="AM3" s="7" t="s">
        <v>318</v>
      </c>
      <c r="AN3" s="8" t="s">
        <v>319</v>
      </c>
      <c r="AO3" s="8" t="s">
        <v>320</v>
      </c>
      <c r="AP3" s="8" t="s">
        <v>321</v>
      </c>
      <c r="AQ3" s="8" t="s">
        <v>322</v>
      </c>
      <c r="AR3" s="8" t="s">
        <v>323</v>
      </c>
      <c r="AS3" s="8" t="s">
        <v>324</v>
      </c>
      <c r="AU3" s="8" t="s">
        <v>325</v>
      </c>
      <c r="AV3" s="8" t="s">
        <v>326</v>
      </c>
      <c r="AW3" s="7" t="s">
        <v>196</v>
      </c>
      <c r="AY3" s="7" t="s">
        <v>327</v>
      </c>
      <c r="BA3" s="10" t="s">
        <v>328</v>
      </c>
      <c r="BB3" s="8" t="s">
        <v>329</v>
      </c>
      <c r="BC3" s="8" t="s">
        <v>330</v>
      </c>
      <c r="BD3" s="8" t="s">
        <v>331</v>
      </c>
      <c r="BE3" s="8" t="s">
        <v>155</v>
      </c>
      <c r="BF3" s="8" t="s">
        <v>162</v>
      </c>
      <c r="BG3" s="8" t="s">
        <v>160</v>
      </c>
      <c r="BH3" s="8" t="s">
        <v>332</v>
      </c>
      <c r="BI3" s="8" t="s">
        <v>191</v>
      </c>
      <c r="BJ3" s="8" t="s">
        <v>333</v>
      </c>
      <c r="BL3" s="10" t="s">
        <v>334</v>
      </c>
      <c r="BM3" s="8" t="s">
        <v>189</v>
      </c>
      <c r="BN3" s="8" t="s">
        <v>335</v>
      </c>
      <c r="BO3" s="8" t="s">
        <v>172</v>
      </c>
      <c r="BP3" s="8" t="s">
        <v>336</v>
      </c>
    </row>
    <row r="4" customFormat="false" ht="12.8" hidden="false" customHeight="false" outlineLevel="0" collapsed="false">
      <c r="A4" s="1" t="s">
        <v>214</v>
      </c>
    </row>
    <row r="5" customFormat="false" ht="12.8" hidden="false" customHeight="false" outlineLevel="0" collapsed="false">
      <c r="A5" s="1" t="s">
        <v>252</v>
      </c>
      <c r="R5" s="20" t="n">
        <v>8060452.5</v>
      </c>
      <c r="S5" s="20" t="n">
        <v>8060452.5</v>
      </c>
      <c r="T5" s="20" t="n">
        <v>8881875.5</v>
      </c>
      <c r="U5" s="19" t="n">
        <v>8039156</v>
      </c>
      <c r="V5" s="20" t="n">
        <v>8881788</v>
      </c>
      <c r="W5" s="20" t="n">
        <v>8060452.5</v>
      </c>
      <c r="X5" s="20" t="n">
        <v>8881875.5</v>
      </c>
      <c r="Y5" s="20"/>
      <c r="Z5" s="20"/>
      <c r="AA5" s="19" t="n">
        <v>5637105</v>
      </c>
      <c r="AB5" s="20" t="n">
        <v>5700935</v>
      </c>
      <c r="AD5" s="19" t="n">
        <v>5229761</v>
      </c>
    </row>
    <row r="6" customFormat="false" ht="12.8" hidden="false" customHeight="false" outlineLevel="0" collapsed="false">
      <c r="A6" s="1" t="s">
        <v>282</v>
      </c>
      <c r="B6" s="1" t="n">
        <v>15549689</v>
      </c>
      <c r="C6" s="1" t="n">
        <v>12851889</v>
      </c>
      <c r="E6" s="1" t="n">
        <v>12748107</v>
      </c>
      <c r="F6" s="1" t="n">
        <v>12556299</v>
      </c>
      <c r="G6" s="1" t="n">
        <v>11669720</v>
      </c>
      <c r="H6" s="1" t="n">
        <v>11993791</v>
      </c>
      <c r="I6" s="1" t="n">
        <v>15550000</v>
      </c>
      <c r="J6" s="1" t="n">
        <v>12748000</v>
      </c>
      <c r="K6" s="1" t="n">
        <v>12067000</v>
      </c>
      <c r="L6" s="1" t="n">
        <v>11670000</v>
      </c>
      <c r="M6" s="1" t="n">
        <v>11934000</v>
      </c>
      <c r="N6" s="1" t="n">
        <v>10753000</v>
      </c>
      <c r="O6" s="1" t="n">
        <v>15550000</v>
      </c>
      <c r="P6" s="1" t="n">
        <v>12556000</v>
      </c>
      <c r="Q6" s="1" t="n">
        <v>10930000</v>
      </c>
      <c r="R6" s="2"/>
      <c r="S6" s="2"/>
      <c r="T6" s="2"/>
      <c r="U6" s="19" t="n">
        <v>17627767.42</v>
      </c>
      <c r="V6" s="19" t="n">
        <v>15497569.27</v>
      </c>
      <c r="W6" s="2"/>
      <c r="X6" s="2"/>
      <c r="Y6" s="2"/>
      <c r="Z6" s="2"/>
      <c r="AA6" s="19" t="n">
        <v>11921623.22</v>
      </c>
      <c r="AB6" s="19" t="n">
        <v>12170244.5</v>
      </c>
      <c r="AC6" s="19" t="n">
        <v>12101598.8</v>
      </c>
      <c r="AD6" s="19" t="n">
        <v>12101598.8</v>
      </c>
      <c r="AF6" s="21" t="n">
        <v>11924223.28</v>
      </c>
      <c r="AG6" s="22" t="n">
        <v>11935226.46</v>
      </c>
      <c r="AH6" s="21" t="n">
        <v>12017945.34</v>
      </c>
      <c r="AJ6" s="21" t="n">
        <v>12167184.94</v>
      </c>
      <c r="AN6" s="22" t="n">
        <v>12281653.56</v>
      </c>
      <c r="AO6" s="22" t="n">
        <v>12172867.06</v>
      </c>
      <c r="AP6" s="22" t="n">
        <v>12170326.94</v>
      </c>
      <c r="AQ6" s="21" t="n">
        <v>12170284.48</v>
      </c>
      <c r="AR6" s="21" t="n">
        <v>12170243.58</v>
      </c>
      <c r="AS6" s="22" t="n">
        <v>12164464.31</v>
      </c>
      <c r="AU6" s="21" t="n">
        <v>12723635.37</v>
      </c>
      <c r="AV6" s="22" t="n">
        <v>13344090.31</v>
      </c>
      <c r="AW6" s="21" t="n">
        <v>13346129.35</v>
      </c>
      <c r="AY6" s="22" t="n">
        <v>56542721.17</v>
      </c>
      <c r="BA6" s="19" t="n">
        <v>12308329.24</v>
      </c>
      <c r="BB6" s="19" t="n">
        <v>12308329.24</v>
      </c>
      <c r="BC6" s="19" t="n">
        <v>12308329.24</v>
      </c>
      <c r="BD6" s="19" t="n">
        <v>12308329.24</v>
      </c>
      <c r="BE6" s="20" t="n">
        <v>12288308.39</v>
      </c>
      <c r="BF6" s="20" t="n">
        <v>12288308.39</v>
      </c>
      <c r="BG6" s="20" t="n">
        <v>12288308.39</v>
      </c>
      <c r="BH6" s="20" t="n">
        <v>12177758.85</v>
      </c>
      <c r="BI6" s="19" t="n">
        <v>12959119.64</v>
      </c>
      <c r="BJ6" s="20" t="n">
        <v>13299745.79</v>
      </c>
      <c r="BL6" s="20" t="n">
        <v>11361446.9</v>
      </c>
      <c r="BM6" s="19" t="n">
        <v>11361446.9</v>
      </c>
      <c r="BN6" s="19" t="n">
        <v>11361446.9</v>
      </c>
      <c r="BO6" s="35" t="n">
        <v>11313302.89</v>
      </c>
      <c r="BP6" s="35" t="n">
        <v>11879211.82</v>
      </c>
    </row>
    <row r="8" customFormat="false" ht="12.8" hidden="false" customHeight="false" outlineLevel="0" collapsed="false">
      <c r="A8" s="1" t="s">
        <v>255</v>
      </c>
    </row>
    <row r="9" customFormat="false" ht="12.8" hidden="false" customHeight="false" outlineLevel="0" collapsed="false">
      <c r="A9" s="1" t="s">
        <v>256</v>
      </c>
      <c r="D9" s="1" t="n">
        <v>57</v>
      </c>
      <c r="E9" s="1" t="n">
        <v>147</v>
      </c>
      <c r="F9" s="1" t="n">
        <v>310</v>
      </c>
      <c r="G9" s="1" t="n">
        <v>121</v>
      </c>
      <c r="H9" s="1" t="n">
        <v>284</v>
      </c>
      <c r="I9" s="1" t="n">
        <v>72</v>
      </c>
      <c r="J9" s="1" t="n">
        <v>174</v>
      </c>
      <c r="K9" s="1" t="n">
        <v>469</v>
      </c>
      <c r="L9" s="1" t="n">
        <v>161</v>
      </c>
      <c r="M9" s="1" t="n">
        <v>365</v>
      </c>
      <c r="N9" s="1" t="n">
        <v>112</v>
      </c>
      <c r="O9" s="1" t="n">
        <v>72</v>
      </c>
      <c r="P9" s="1" t="n">
        <v>148</v>
      </c>
      <c r="Q9" s="1" t="n">
        <v>209</v>
      </c>
      <c r="R9" s="25" t="n">
        <v>494.84</v>
      </c>
      <c r="S9" s="25" t="n">
        <v>494.84</v>
      </c>
      <c r="T9" s="25" t="n">
        <v>75.7</v>
      </c>
      <c r="U9" s="23" t="n">
        <v>492.3</v>
      </c>
      <c r="V9" s="25" t="n">
        <v>75.62</v>
      </c>
      <c r="W9" s="25" t="n">
        <v>494.84</v>
      </c>
      <c r="X9" s="25" t="n">
        <v>75.7</v>
      </c>
      <c r="Y9" s="25"/>
      <c r="Z9" s="25"/>
      <c r="AA9" s="23" t="n">
        <v>341.28</v>
      </c>
      <c r="AB9" s="23" t="n">
        <v>277.88</v>
      </c>
      <c r="AC9" s="25" t="n">
        <v>316.72</v>
      </c>
      <c r="AD9" s="25" t="n">
        <v>316.72</v>
      </c>
      <c r="AF9" s="25" t="n">
        <v>336.96</v>
      </c>
      <c r="AG9" s="23" t="n">
        <v>340.92</v>
      </c>
      <c r="AH9" s="25" t="n">
        <v>341.36</v>
      </c>
      <c r="AJ9" s="25" t="n">
        <v>196.64</v>
      </c>
      <c r="AK9" s="23" t="n">
        <v>212.28</v>
      </c>
      <c r="AL9" s="25" t="n">
        <v>216.12</v>
      </c>
      <c r="AM9" s="23" t="n">
        <v>197</v>
      </c>
      <c r="AN9" s="25" t="n">
        <v>276.76</v>
      </c>
      <c r="AO9" s="23" t="n">
        <v>236.92</v>
      </c>
      <c r="AP9" s="23" t="n">
        <v>193.84</v>
      </c>
      <c r="AQ9" s="25" t="n">
        <v>208.52</v>
      </c>
      <c r="AR9" s="25" t="n">
        <v>279.32</v>
      </c>
      <c r="AS9" s="23" t="n">
        <v>281.1</v>
      </c>
      <c r="AU9" s="25" t="n">
        <v>123.5</v>
      </c>
      <c r="AV9" s="23" t="n">
        <v>135.88</v>
      </c>
      <c r="AW9" s="25" t="n">
        <v>135.88</v>
      </c>
      <c r="AY9" s="23" t="n">
        <v>1233.22</v>
      </c>
      <c r="BA9" s="23" t="n">
        <v>136.18</v>
      </c>
      <c r="BB9" s="23" t="n">
        <v>136.18</v>
      </c>
      <c r="BC9" s="23" t="n">
        <v>136.18</v>
      </c>
      <c r="BD9" s="23" t="n">
        <v>136.18</v>
      </c>
      <c r="BE9" s="23" t="n">
        <v>136.18</v>
      </c>
      <c r="BF9" s="23" t="n">
        <v>136.18</v>
      </c>
      <c r="BG9" s="23" t="n">
        <v>136.18</v>
      </c>
      <c r="BH9" s="25" t="n">
        <v>142.36</v>
      </c>
      <c r="BI9" s="23" t="n">
        <v>132.78</v>
      </c>
      <c r="BJ9" s="25" t="n">
        <v>134.86</v>
      </c>
      <c r="BL9" s="23" t="n">
        <v>431.26</v>
      </c>
      <c r="BM9" s="23" t="n">
        <v>431.26</v>
      </c>
      <c r="BN9" s="23" t="n">
        <v>431.26</v>
      </c>
      <c r="BO9" s="25" t="n">
        <v>431.26</v>
      </c>
      <c r="BP9" s="23" t="n">
        <v>426.82</v>
      </c>
    </row>
    <row r="10" customFormat="false" ht="12.8" hidden="false" customHeight="false" outlineLevel="0" collapsed="false">
      <c r="A10" s="1" t="s">
        <v>257</v>
      </c>
      <c r="D10" s="1" t="n">
        <v>6416</v>
      </c>
      <c r="E10" s="1" t="n">
        <v>5915</v>
      </c>
      <c r="F10" s="1" t="n">
        <v>4527</v>
      </c>
      <c r="G10" s="1" t="n">
        <v>4344</v>
      </c>
      <c r="H10" s="1" t="n">
        <v>9955</v>
      </c>
      <c r="I10" s="1" t="n">
        <v>8431</v>
      </c>
      <c r="J10" s="1" t="n">
        <v>7310</v>
      </c>
      <c r="K10" s="1" t="n">
        <v>5474</v>
      </c>
      <c r="L10" s="1" t="n">
        <v>5798</v>
      </c>
      <c r="M10" s="1" t="n">
        <v>10681</v>
      </c>
      <c r="N10" s="1" t="n">
        <v>5226</v>
      </c>
      <c r="R10" s="21" t="n">
        <v>2862.82</v>
      </c>
      <c r="S10" s="21" t="n">
        <v>8816.84</v>
      </c>
      <c r="T10" s="21" t="n">
        <v>8816.84</v>
      </c>
      <c r="U10" s="21"/>
      <c r="V10" s="21"/>
      <c r="W10" s="21" t="n">
        <v>8816.84</v>
      </c>
      <c r="X10" s="21" t="n">
        <v>8816.84</v>
      </c>
      <c r="Y10" s="21"/>
      <c r="Z10" s="21"/>
      <c r="AA10" s="23"/>
      <c r="AB10" s="23"/>
      <c r="AC10" s="25"/>
      <c r="AD10" s="25"/>
      <c r="AF10" s="2"/>
      <c r="AG10" s="2"/>
      <c r="AH10" s="2"/>
      <c r="AJ10" s="2"/>
      <c r="AK10" s="2"/>
      <c r="AL10" s="2"/>
      <c r="AM10" s="2"/>
      <c r="AN10" s="2"/>
      <c r="AO10" s="2"/>
      <c r="AP10" s="2"/>
      <c r="AQ10" s="2"/>
      <c r="AS10" s="2"/>
      <c r="AU10" s="2"/>
      <c r="AV10" s="2"/>
      <c r="AW10" s="2"/>
      <c r="AY10" s="2"/>
      <c r="BA10" s="2"/>
      <c r="BB10" s="2"/>
      <c r="BC10" s="2"/>
      <c r="BD10" s="2"/>
      <c r="BE10" s="2"/>
      <c r="BF10" s="2"/>
      <c r="BG10" s="2"/>
      <c r="BH10" s="2"/>
      <c r="BI10" s="2"/>
      <c r="BJ10" s="2"/>
      <c r="BO10" s="2"/>
      <c r="BP10" s="2"/>
    </row>
    <row r="11" customFormat="false" ht="12.8" hidden="false" customHeight="false" outlineLevel="0" collapsed="false">
      <c r="A11" s="1" t="s">
        <v>258</v>
      </c>
      <c r="D11" s="1" t="n">
        <v>322099</v>
      </c>
      <c r="E11" s="1" t="n">
        <v>137719</v>
      </c>
      <c r="F11" s="1" t="n">
        <v>99773</v>
      </c>
      <c r="G11" s="1" t="n">
        <v>87012</v>
      </c>
      <c r="H11" s="1" t="n">
        <v>168176</v>
      </c>
      <c r="I11" s="1" t="n">
        <v>352000</v>
      </c>
      <c r="J11" s="1" t="n">
        <v>150000</v>
      </c>
      <c r="K11" s="1" t="n">
        <v>115000</v>
      </c>
      <c r="L11" s="1" t="n">
        <v>94000</v>
      </c>
      <c r="M11" s="1" t="n">
        <v>122000</v>
      </c>
      <c r="N11" s="1" t="n">
        <v>105000</v>
      </c>
      <c r="O11" s="1" t="n">
        <v>351000</v>
      </c>
      <c r="P11" s="1" t="n">
        <v>123000</v>
      </c>
      <c r="Q11" s="1" t="n">
        <v>85000</v>
      </c>
      <c r="R11" s="26" t="n">
        <v>124040</v>
      </c>
      <c r="S11" s="26" t="n">
        <v>466644.2</v>
      </c>
      <c r="T11" s="26" t="n">
        <v>466644.2</v>
      </c>
      <c r="U11" s="26" t="n">
        <v>350845.94</v>
      </c>
      <c r="V11" s="24" t="n">
        <v>351339.22</v>
      </c>
      <c r="W11" s="26" t="n">
        <v>466644.2</v>
      </c>
      <c r="X11" s="26" t="n">
        <v>466644.2</v>
      </c>
      <c r="Y11" s="26"/>
      <c r="Z11" s="26"/>
      <c r="AA11" s="24" t="n">
        <v>112691.32</v>
      </c>
      <c r="AB11" s="24" t="n">
        <v>113940</v>
      </c>
      <c r="AC11" s="26" t="n">
        <v>114973.72</v>
      </c>
      <c r="AD11" s="26" t="n">
        <v>114973.72</v>
      </c>
      <c r="AF11" s="26" t="n">
        <v>113503.12</v>
      </c>
      <c r="AG11" s="24" t="n">
        <v>115892.32</v>
      </c>
      <c r="AH11" s="26" t="n">
        <v>113397.12</v>
      </c>
      <c r="AJ11" s="26" t="n">
        <v>113946.4</v>
      </c>
      <c r="AK11" s="24" t="n">
        <v>113948.52</v>
      </c>
      <c r="AL11" s="26" t="n">
        <v>113951.72</v>
      </c>
      <c r="AM11" s="24" t="n">
        <v>113951.28</v>
      </c>
      <c r="AN11" s="26" t="n">
        <v>114694.04</v>
      </c>
      <c r="AO11" s="24" t="n">
        <v>113942.8</v>
      </c>
      <c r="AP11" s="24" t="n">
        <v>114045.16</v>
      </c>
      <c r="AQ11" s="26" t="n">
        <v>114029.16</v>
      </c>
      <c r="AR11" s="23" t="n">
        <v>113938.24</v>
      </c>
      <c r="AS11" s="24" t="n">
        <v>113799.3</v>
      </c>
      <c r="AU11" s="26" t="n">
        <v>95646.74</v>
      </c>
      <c r="AV11" s="24" t="n">
        <v>100622.34</v>
      </c>
      <c r="AW11" s="26" t="n">
        <v>100540.96</v>
      </c>
      <c r="AY11" s="26" t="n">
        <v>357678.1</v>
      </c>
      <c r="BA11" s="24" t="n">
        <v>93179.02</v>
      </c>
      <c r="BB11" s="24" t="n">
        <v>93179.02</v>
      </c>
      <c r="BC11" s="24" t="n">
        <v>93179.02</v>
      </c>
      <c r="BD11" s="24" t="n">
        <v>93179.02</v>
      </c>
      <c r="BE11" s="24" t="n">
        <v>93180.82</v>
      </c>
      <c r="BF11" s="24" t="n">
        <v>93180.82</v>
      </c>
      <c r="BG11" s="24" t="n">
        <v>93180.82</v>
      </c>
      <c r="BH11" s="26" t="n">
        <v>94467.68</v>
      </c>
      <c r="BI11" s="24" t="n">
        <v>95488.12</v>
      </c>
      <c r="BJ11" s="26" t="n">
        <v>99979.4</v>
      </c>
      <c r="BL11" s="24" t="n">
        <v>189163.04</v>
      </c>
      <c r="BM11" s="24" t="n">
        <v>189163.04</v>
      </c>
      <c r="BN11" s="24" t="n">
        <v>189163.04</v>
      </c>
      <c r="BO11" s="26" t="n">
        <v>189147.24</v>
      </c>
      <c r="BP11" s="24" t="n">
        <v>186631.5</v>
      </c>
    </row>
    <row r="13" customFormat="false" ht="12.8" hidden="false" customHeight="false" outlineLevel="0" collapsed="false">
      <c r="A13" s="1" t="s">
        <v>260</v>
      </c>
    </row>
    <row r="14" customFormat="false" ht="12.8" hidden="false" customHeight="false" outlineLevel="0" collapsed="false">
      <c r="A14" s="1" t="s">
        <v>261</v>
      </c>
    </row>
    <row r="15" customFormat="false" ht="12.8" hidden="false" customHeight="false" outlineLevel="0" collapsed="false">
      <c r="A15" s="1" t="s">
        <v>262</v>
      </c>
      <c r="D15" s="1" t="n">
        <v>276809</v>
      </c>
      <c r="E15" s="1" t="n">
        <v>232509</v>
      </c>
      <c r="F15" s="1" t="n">
        <v>230108</v>
      </c>
      <c r="G15" s="1" t="n">
        <v>224249</v>
      </c>
      <c r="H15" s="1" t="n">
        <v>219022</v>
      </c>
      <c r="I15" s="1" t="n">
        <v>276000</v>
      </c>
      <c r="J15" s="1" t="n">
        <v>233000</v>
      </c>
      <c r="K15" s="1" t="n">
        <v>230000</v>
      </c>
      <c r="L15" s="1" t="n">
        <v>224000</v>
      </c>
      <c r="M15" s="1" t="n">
        <v>219000</v>
      </c>
      <c r="N15" s="1" t="n">
        <v>207000</v>
      </c>
      <c r="O15" s="1" t="n">
        <v>276000</v>
      </c>
      <c r="P15" s="1" t="n">
        <v>230000</v>
      </c>
      <c r="Q15" s="1" t="n">
        <v>232000</v>
      </c>
      <c r="R15" s="19" t="n">
        <v>532743.72</v>
      </c>
      <c r="S15" s="19" t="n">
        <v>532743.72</v>
      </c>
      <c r="T15" s="19" t="n">
        <v>530957.42</v>
      </c>
      <c r="U15" s="19" t="n">
        <v>291922.74</v>
      </c>
      <c r="V15" s="19" t="n">
        <v>276087.16</v>
      </c>
      <c r="W15" s="52" t="n">
        <v>564610.52</v>
      </c>
      <c r="X15" s="19" t="n">
        <v>530957.42</v>
      </c>
      <c r="Y15" s="19"/>
      <c r="Z15" s="19"/>
      <c r="AA15" s="19" t="n">
        <v>231020.72</v>
      </c>
      <c r="AB15" s="19" t="n">
        <v>233574.76</v>
      </c>
      <c r="AC15" s="19" t="n">
        <v>230461.84</v>
      </c>
      <c r="AD15" s="19" t="n">
        <v>230461.84</v>
      </c>
      <c r="BE15" s="22" t="n">
        <v>181316.08</v>
      </c>
    </row>
    <row r="16" customFormat="false" ht="12.8" hidden="false" customHeight="false" outlineLevel="0" collapsed="false">
      <c r="A16" s="1" t="s">
        <v>263</v>
      </c>
      <c r="D16" s="1" t="n">
        <v>3268093</v>
      </c>
      <c r="E16" s="1" t="n">
        <v>681995</v>
      </c>
      <c r="F16" s="1" t="n">
        <v>681989</v>
      </c>
      <c r="G16" s="1" t="n">
        <v>664469</v>
      </c>
      <c r="H16" s="1" t="n">
        <v>660555</v>
      </c>
      <c r="I16" s="1" t="n">
        <v>3268000</v>
      </c>
      <c r="J16" s="1" t="n">
        <v>682000</v>
      </c>
      <c r="K16" s="1" t="n">
        <v>678000</v>
      </c>
      <c r="L16" s="1" t="n">
        <v>664000</v>
      </c>
      <c r="M16" s="1" t="n">
        <v>661000</v>
      </c>
      <c r="N16" s="1" t="n">
        <v>653000</v>
      </c>
      <c r="O16" s="1" t="n">
        <v>3268000</v>
      </c>
      <c r="P16" s="1" t="n">
        <v>682000</v>
      </c>
      <c r="Q16" s="1" t="n">
        <v>663000</v>
      </c>
      <c r="R16" s="20" t="n">
        <v>3433941.28</v>
      </c>
      <c r="S16" s="20" t="n">
        <v>3433941.28</v>
      </c>
      <c r="T16" s="20" t="n">
        <v>3265749.64</v>
      </c>
      <c r="U16" s="19" t="n">
        <v>3436186.5</v>
      </c>
      <c r="V16" s="19" t="n">
        <v>3265722.1</v>
      </c>
      <c r="W16" s="53" t="n">
        <v>3674516.76</v>
      </c>
      <c r="X16" s="20" t="n">
        <v>3265749.64</v>
      </c>
      <c r="Y16" s="20"/>
      <c r="Z16" s="20"/>
      <c r="AA16" s="19" t="n">
        <v>680969.48</v>
      </c>
      <c r="AB16" s="19" t="n">
        <v>680969.72</v>
      </c>
      <c r="AC16" s="19" t="n">
        <v>680816.56</v>
      </c>
      <c r="AD16" s="19" t="n">
        <v>680816.56</v>
      </c>
      <c r="BE16" s="24" t="n">
        <v>736962.46</v>
      </c>
    </row>
    <row r="18" customFormat="false" ht="12.8" hidden="false" customHeight="false" outlineLevel="0" collapsed="false">
      <c r="A18" s="1" t="s">
        <v>266</v>
      </c>
    </row>
    <row r="19" customFormat="false" ht="12.8" hidden="false" customHeight="false" outlineLevel="0" collapsed="false">
      <c r="A19" s="1" t="s">
        <v>267</v>
      </c>
      <c r="B19" s="1" t="n">
        <v>64002</v>
      </c>
      <c r="C19" s="1" t="n">
        <v>34474</v>
      </c>
      <c r="I19" s="1" t="n">
        <v>99396</v>
      </c>
      <c r="J19" s="1" t="n">
        <v>84011</v>
      </c>
      <c r="K19" s="1" t="n">
        <v>84007</v>
      </c>
      <c r="L19" s="1" t="n">
        <v>93543</v>
      </c>
      <c r="M19" s="1" t="n">
        <v>93145</v>
      </c>
      <c r="N19" s="1" t="n">
        <v>78212</v>
      </c>
      <c r="T19" s="21" t="n">
        <v>104244.976666667</v>
      </c>
      <c r="U19" s="21"/>
      <c r="V19" s="21"/>
      <c r="W19" s="21"/>
      <c r="X19" s="21"/>
      <c r="Y19" s="21"/>
      <c r="Z19" s="21"/>
      <c r="AA19" s="1" t="n">
        <v>88594</v>
      </c>
    </row>
    <row r="21" customFormat="false" ht="12.8" hidden="false" customHeight="false" outlineLevel="0" collapsed="false">
      <c r="A21" s="1" t="s">
        <v>268</v>
      </c>
      <c r="BA21" s="2"/>
      <c r="BB21" s="2"/>
      <c r="BC21" s="2"/>
      <c r="BD21" s="2"/>
      <c r="BE21" s="2"/>
      <c r="BF21" s="2"/>
      <c r="BG21" s="2"/>
      <c r="BH21" s="2"/>
      <c r="BI21" s="2"/>
      <c r="BJ21" s="2"/>
      <c r="BK21" s="2"/>
      <c r="BL21" s="2"/>
      <c r="BM21" s="2"/>
      <c r="BN21" s="2"/>
      <c r="BO21" s="2"/>
      <c r="BP21" s="2"/>
    </row>
    <row r="22" customFormat="false" ht="12.8" hidden="false" customHeight="false" outlineLevel="0" collapsed="false">
      <c r="A22" s="1" t="s">
        <v>267</v>
      </c>
      <c r="B22" s="1" t="n">
        <v>9646</v>
      </c>
      <c r="C22" s="1" t="n">
        <v>12085</v>
      </c>
      <c r="D22" s="1" t="n">
        <v>5406</v>
      </c>
      <c r="E22" s="1" t="n">
        <v>6677</v>
      </c>
      <c r="F22" s="1" t="n">
        <v>6880</v>
      </c>
      <c r="G22" s="1" t="n">
        <v>5545</v>
      </c>
      <c r="H22" s="1" t="n">
        <v>5546</v>
      </c>
      <c r="I22" s="1" t="n">
        <v>5406</v>
      </c>
      <c r="J22" s="1" t="n">
        <v>6676</v>
      </c>
      <c r="K22" s="1" t="n">
        <v>6876</v>
      </c>
      <c r="L22" s="1" t="n">
        <v>5545</v>
      </c>
      <c r="M22" s="1" t="n">
        <v>5545</v>
      </c>
      <c r="N22" s="1" t="n">
        <v>6262</v>
      </c>
      <c r="O22" s="1" t="n">
        <v>5406</v>
      </c>
      <c r="P22" s="1" t="n">
        <v>6873</v>
      </c>
      <c r="Q22" s="1" t="n">
        <v>5545</v>
      </c>
      <c r="R22" s="19" t="n">
        <v>6021.14194982534</v>
      </c>
      <c r="S22" s="19" t="n">
        <v>6036.34931724357</v>
      </c>
      <c r="T22" s="19" t="n">
        <v>6035.73801206732</v>
      </c>
      <c r="U22" s="19" t="n">
        <v>5519.09495077803</v>
      </c>
      <c r="V22" s="19" t="n">
        <v>5338.64782470626</v>
      </c>
      <c r="W22" s="19" t="n">
        <v>6050.23753572563</v>
      </c>
      <c r="X22" s="19" t="n">
        <v>6035.73801206732</v>
      </c>
      <c r="AA22" s="19" t="n">
        <v>6900.75579549063</v>
      </c>
      <c r="AB22" s="19" t="n">
        <v>6910.56906954589</v>
      </c>
      <c r="AC22" s="19" t="n">
        <v>6884.14290250873</v>
      </c>
      <c r="AD22" s="19" t="n">
        <v>6884.14290250873</v>
      </c>
      <c r="AF22" s="24" t="n">
        <v>6901.18323277231</v>
      </c>
      <c r="AG22" s="26" t="n">
        <v>6900.67767545252</v>
      </c>
      <c r="AH22" s="24" t="n">
        <v>6900.647189584</v>
      </c>
      <c r="AJ22" s="24" t="n">
        <v>7406.53413782153</v>
      </c>
      <c r="AN22" s="26" t="n">
        <v>6910.55382661162</v>
      </c>
      <c r="AO22" s="26" t="n">
        <v>7183.7440457288</v>
      </c>
      <c r="AP22" s="26" t="n">
        <v>7078.55827246745</v>
      </c>
      <c r="AQ22" s="24" t="n">
        <v>6954.52588123214</v>
      </c>
      <c r="AR22" s="24" t="n">
        <v>6907.25881232137</v>
      </c>
      <c r="AS22" s="26" t="n">
        <v>7568.12607176882</v>
      </c>
      <c r="AU22" s="24" t="n">
        <v>5504.78723404255</v>
      </c>
      <c r="AV22" s="26" t="n">
        <v>7263.5982851699</v>
      </c>
      <c r="AW22" s="24" t="n">
        <v>6768.02858050175</v>
      </c>
      <c r="AY22" s="26" t="n">
        <v>5712.59129882502</v>
      </c>
      <c r="BA22" s="20" t="n">
        <v>5470.33788504287</v>
      </c>
      <c r="BB22" s="20" t="n">
        <v>5470.33788504287</v>
      </c>
      <c r="BC22" s="20" t="n">
        <v>5470.33788504287</v>
      </c>
      <c r="BD22" s="20" t="n">
        <v>5470.33788504287</v>
      </c>
      <c r="BE22" s="19" t="n">
        <v>5470.32867577009</v>
      </c>
      <c r="BF22" s="19" t="n">
        <v>5470.32867577009</v>
      </c>
      <c r="BG22" s="19" t="n">
        <v>5470.32867577009</v>
      </c>
      <c r="BH22" s="19" t="n">
        <v>5470.33026357574</v>
      </c>
      <c r="BI22" s="20" t="n">
        <v>5489.70847888219</v>
      </c>
      <c r="BJ22" s="19" t="n">
        <v>5557.28389965068</v>
      </c>
      <c r="BL22" s="19" t="n">
        <v>5523.63702762782</v>
      </c>
      <c r="BM22" s="20" t="n">
        <v>5523.63702762782</v>
      </c>
      <c r="BN22" s="20" t="n">
        <v>5523.63702762782</v>
      </c>
      <c r="BO22" s="20" t="n">
        <v>5516.0342966021</v>
      </c>
      <c r="BP22" s="20" t="n">
        <v>5682.68243886948</v>
      </c>
    </row>
    <row r="24" customFormat="false" ht="12.8" hidden="false" customHeight="false" outlineLevel="0" collapsed="false">
      <c r="A24" s="1" t="s">
        <v>271</v>
      </c>
      <c r="E24" s="1" t="n">
        <f aca="false">AVERAGE(E9,E11,E15,E16,E22)</f>
        <v>211809.4</v>
      </c>
      <c r="F24" s="1" t="n">
        <f aca="false">AVERAGE(F9,F11,F15,F16,F22)</f>
        <v>203812</v>
      </c>
      <c r="G24" s="1" t="n">
        <f aca="false">AVERAGE(G9,G11,G15,G16,G22)</f>
        <v>196279.2</v>
      </c>
      <c r="H24" s="1" t="n">
        <f aca="false">AVERAGE(H9,H11,H15,H16,H22)</f>
        <v>210716.6</v>
      </c>
      <c r="I24" s="1" t="n">
        <f aca="false">AVERAGE(I9,I11,I15,I16,I22)</f>
        <v>780295.6</v>
      </c>
      <c r="J24" s="1" t="n">
        <f aca="false">AVERAGE(J9,J11,J15,J16,J22)</f>
        <v>214370</v>
      </c>
      <c r="K24" s="1" t="n">
        <f aca="false">AVERAGE(K9,K11,K15,K16,K22)</f>
        <v>206069</v>
      </c>
      <c r="L24" s="1" t="n">
        <f aca="false">AVERAGE(L9,L11,L15,L16,L22)</f>
        <v>197541.2</v>
      </c>
      <c r="M24" s="1" t="n">
        <f aca="false">AVERAGE(M9,M11,M15,M16,M22)</f>
        <v>201582</v>
      </c>
      <c r="N24" s="1" t="n">
        <f aca="false">AVERAGE(N9,N11,N15,N16,N22)</f>
        <v>194274.8</v>
      </c>
      <c r="O24" s="1" t="n">
        <f aca="false">AVERAGE(O9,O11,O15,O16,O22)</f>
        <v>780095.6</v>
      </c>
      <c r="P24" s="1" t="n">
        <f aca="false">AVERAGE(P9,P11,P15,P16,P22)</f>
        <v>208404.2</v>
      </c>
      <c r="Q24" s="1" t="n">
        <f aca="false">AVERAGE(Q9,Q11,Q15,Q16,Q22)</f>
        <v>197150.8</v>
      </c>
      <c r="R24" s="1" t="n">
        <f aca="false">AVERAGE(R9,R11,R15,R16,R22)</f>
        <v>819448.196389965</v>
      </c>
      <c r="S24" s="1" t="n">
        <f aca="false">AVERAGE(S9,S11,S15,S16,S22)</f>
        <v>887972.077863449</v>
      </c>
      <c r="T24" s="1" t="n">
        <f aca="false">AVERAGE(T9,T11,T15,T16,T22)</f>
        <v>853892.539602414</v>
      </c>
      <c r="U24" s="1" t="n">
        <f aca="false">AVERAGE(U9,U11,U15,U16,U22)</f>
        <v>816993.314990156</v>
      </c>
      <c r="V24" s="1" t="n">
        <f aca="false">AVERAGE(V9,V11,V15,V16,V22)</f>
        <v>779712.549564941</v>
      </c>
      <c r="W24" s="1" t="n">
        <f aca="false">AVERAGE(W9,W11,W15,W16,W22)</f>
        <v>942463.311507145</v>
      </c>
      <c r="X24" s="1" t="n">
        <f aca="false">AVERAGE(X9,X11,X15,X16,X22)</f>
        <v>853892.539602414</v>
      </c>
      <c r="AA24" s="1" t="n">
        <f aca="false">AVERAGE(AA9,AA11,AA15,AA16,AA22)</f>
        <v>206384.711159098</v>
      </c>
      <c r="AB24" s="1" t="n">
        <f aca="false">AVERAGE(AB9,AB11,AB15,AB16,AB22)</f>
        <v>207134.585813909</v>
      </c>
      <c r="AC24" s="1" t="n">
        <f aca="false">AVERAGE(AC9,AC11,AC15,AC16,AC22)</f>
        <v>206690.596580502</v>
      </c>
      <c r="AD24" s="1" t="n">
        <f aca="false">AVERAGE(AD9,AD11,AD15,AD16,AD22)</f>
        <v>206690.596580502</v>
      </c>
    </row>
    <row r="25" customFormat="false" ht="12.8" hidden="false" customHeight="false" outlineLevel="0" collapsed="false">
      <c r="A25" s="1" t="s">
        <v>272</v>
      </c>
      <c r="O25" s="1" t="n">
        <f aca="false">AVERAGE(O6,O9,O11,O15,O16,O22,)</f>
        <v>2778639.71428571</v>
      </c>
      <c r="P25" s="1" t="n">
        <f aca="false">AVERAGE(P6,P9,P11,P15,P16,P22,)</f>
        <v>1942574.42857143</v>
      </c>
      <c r="Q25" s="1" t="n">
        <f aca="false">AVERAGE(Q6,Q9,Q11,Q15,Q16,Q22,)</f>
        <v>1702250.57142857</v>
      </c>
      <c r="U25" s="1" t="n">
        <f aca="false">AVERAGE(U6,U9,U11,U15,U16,U22,)</f>
        <v>3101819.14213583</v>
      </c>
      <c r="V25" s="1" t="n">
        <f aca="false">AVERAGE(V6,V9,V11,V15,V16,V22,)</f>
        <v>2770876.00254639</v>
      </c>
      <c r="AA25" s="1" t="n">
        <f aca="false">AVERAGE(AA6,AA9,AA11,AA15,AA16,AA22,)</f>
        <v>1850506.6822565</v>
      </c>
      <c r="AB25" s="1" t="n">
        <f aca="false">AVERAGE(AB6,AB9,AB11,AB15,AB16,AB22,)</f>
        <v>1886559.63272422</v>
      </c>
      <c r="AC25" s="1" t="n">
        <f aca="false">AVERAGE(AC6,AC9,AC11,AC15,AC16,AC22,)</f>
        <v>1876435.96898607</v>
      </c>
      <c r="AD25" s="1" t="n">
        <f aca="false">AVERAGE(AD6,AD9,AD11,AD15,AD16,AD22,)</f>
        <v>1876435.96898607</v>
      </c>
    </row>
    <row r="26" customFormat="false" ht="12.8" hidden="false" customHeight="false" outlineLevel="0" collapsed="false">
      <c r="T26" s="1" t="s">
        <v>337</v>
      </c>
    </row>
    <row r="27" customFormat="false" ht="12.8" hidden="false" customHeight="false" outlineLevel="0" collapsed="false">
      <c r="T27" s="1" t="s">
        <v>338</v>
      </c>
    </row>
    <row r="30" customFormat="false" ht="12.8" hidden="false" customHeight="false" outlineLevel="0" collapsed="false">
      <c r="O30" s="1" t="s">
        <v>273</v>
      </c>
    </row>
    <row r="33" customFormat="false" ht="12.8" hidden="false" customHeight="false" outlineLevel="0" collapsed="false">
      <c r="T33" s="1" t="s">
        <v>339</v>
      </c>
    </row>
    <row r="35" customFormat="false" ht="12.8" hidden="false" customHeight="false" outlineLevel="0" collapsed="false">
      <c r="A35" s="4" t="s">
        <v>274</v>
      </c>
      <c r="I35" s="2"/>
      <c r="J35" s="2"/>
      <c r="K35" s="2"/>
      <c r="O35" s="1" t="s">
        <v>18</v>
      </c>
      <c r="R35" s="1" t="s">
        <v>285</v>
      </c>
      <c r="AY35" s="2"/>
    </row>
    <row r="36" customFormat="false" ht="12.8" hidden="false" customHeight="false" outlineLevel="0" collapsed="false">
      <c r="A36" s="1" t="s">
        <v>214</v>
      </c>
      <c r="I36" s="2"/>
      <c r="J36" s="2"/>
      <c r="K36" s="2"/>
      <c r="O36" s="1" t="s">
        <v>107</v>
      </c>
      <c r="P36" s="1" t="s">
        <v>114</v>
      </c>
      <c r="Q36" s="1" t="s">
        <v>115</v>
      </c>
      <c r="R36" s="1" t="s">
        <v>307</v>
      </c>
      <c r="S36" s="1" t="s">
        <v>308</v>
      </c>
      <c r="T36" s="1" t="s">
        <v>309</v>
      </c>
      <c r="U36" s="5" t="s">
        <v>117</v>
      </c>
      <c r="V36" s="5" t="s">
        <v>118</v>
      </c>
      <c r="W36" s="1" t="s">
        <v>310</v>
      </c>
      <c r="X36" s="1" t="s">
        <v>311</v>
      </c>
      <c r="AA36" s="1" t="s">
        <v>138</v>
      </c>
      <c r="AB36" s="1" t="s">
        <v>139</v>
      </c>
      <c r="AC36" s="1" t="s">
        <v>140</v>
      </c>
      <c r="AD36" s="7" t="s">
        <v>141</v>
      </c>
    </row>
    <row r="37" customFormat="false" ht="12.8" hidden="false" customHeight="false" outlineLevel="0" collapsed="false">
      <c r="A37" s="1" t="s">
        <v>252</v>
      </c>
      <c r="I37" s="2"/>
      <c r="J37" s="2"/>
      <c r="K37" s="2"/>
      <c r="R37" s="20" t="n">
        <v>6821240</v>
      </c>
      <c r="S37" s="20" t="n">
        <v>6821240</v>
      </c>
      <c r="T37" s="20" t="n">
        <v>6821240</v>
      </c>
      <c r="U37" s="35" t="n">
        <v>6821240</v>
      </c>
      <c r="V37" s="20" t="n">
        <v>6821240</v>
      </c>
      <c r="W37" s="20" t="n">
        <v>6821240</v>
      </c>
      <c r="X37" s="20" t="n">
        <v>6821240</v>
      </c>
      <c r="Y37" s="20"/>
      <c r="Z37" s="20"/>
      <c r="AA37" s="35" t="n">
        <v>2543520</v>
      </c>
      <c r="AB37" s="20" t="n">
        <v>5696458</v>
      </c>
      <c r="AD37" s="1" t="n">
        <v>5229755</v>
      </c>
    </row>
    <row r="38" customFormat="false" ht="12.8" hidden="false" customHeight="false" outlineLevel="0" collapsed="false">
      <c r="A38" s="1" t="s">
        <v>282</v>
      </c>
      <c r="H38" s="21"/>
      <c r="I38" s="2"/>
      <c r="O38" s="1" t="n">
        <v>14700000</v>
      </c>
      <c r="P38" s="1" t="n">
        <v>11739000</v>
      </c>
      <c r="Q38" s="1" t="n">
        <v>10720000</v>
      </c>
      <c r="R38" s="2"/>
      <c r="S38" s="2"/>
      <c r="T38" s="2"/>
      <c r="U38" s="35" t="n">
        <v>14700187.95</v>
      </c>
      <c r="V38" s="35" t="n">
        <v>14700187.95</v>
      </c>
      <c r="W38" s="2"/>
      <c r="X38" s="2"/>
      <c r="Y38" s="2"/>
      <c r="Z38" s="2"/>
      <c r="AA38" s="35" t="n">
        <v>11794666.86</v>
      </c>
      <c r="AB38" s="35" t="n">
        <v>12165164.94</v>
      </c>
      <c r="AC38" s="35" t="n">
        <v>12101597.82</v>
      </c>
      <c r="AD38" s="35" t="n">
        <v>12101597.82</v>
      </c>
      <c r="AF38" s="21" t="n">
        <v>11792521.98</v>
      </c>
      <c r="AG38" s="21" t="n">
        <v>11791053.94</v>
      </c>
      <c r="AH38" s="21" t="n">
        <v>11791384.88</v>
      </c>
      <c r="AJ38" s="21" t="n">
        <v>12164748.44</v>
      </c>
      <c r="AN38" s="21" t="n">
        <v>12256941.44</v>
      </c>
      <c r="AO38" s="21" t="n">
        <v>12164725.26</v>
      </c>
      <c r="AP38" s="21" t="n">
        <v>12165168.5</v>
      </c>
      <c r="AQ38" s="21" t="n">
        <v>12165258.22</v>
      </c>
      <c r="AR38" s="21" t="n">
        <v>12165165.4</v>
      </c>
      <c r="AS38" s="21" t="n">
        <v>12160778.6</v>
      </c>
      <c r="AU38" s="21" t="n">
        <v>12723473.22</v>
      </c>
      <c r="AV38" s="21" t="n">
        <v>13343056.18</v>
      </c>
      <c r="AW38" s="21" t="n">
        <v>13345094.93</v>
      </c>
      <c r="AY38" s="21" t="n">
        <v>56542720.17</v>
      </c>
      <c r="BA38" s="35" t="n">
        <v>12275967.92</v>
      </c>
      <c r="BB38" s="35" t="n">
        <v>12275967.92</v>
      </c>
      <c r="BC38" s="35" t="n">
        <v>12275967.92</v>
      </c>
      <c r="BD38" s="35" t="n">
        <v>12275967.92</v>
      </c>
      <c r="BE38" s="20" t="n">
        <v>12256991.9</v>
      </c>
      <c r="BF38" s="20" t="n">
        <v>12256991.9</v>
      </c>
      <c r="BG38" s="20" t="n">
        <v>12256991.9</v>
      </c>
      <c r="BH38" s="20" t="n">
        <v>12174192.35</v>
      </c>
      <c r="BI38" s="35" t="n">
        <v>12950883.21</v>
      </c>
      <c r="BJ38" s="20" t="n">
        <v>13300813.99</v>
      </c>
      <c r="BL38" s="20" t="n">
        <v>11316120.2</v>
      </c>
      <c r="BM38" s="35" t="n">
        <v>11316120.2</v>
      </c>
      <c r="BN38" s="35" t="n">
        <v>11316120.2</v>
      </c>
      <c r="BO38" s="19" t="n">
        <v>11358631.75</v>
      </c>
      <c r="BP38" s="19" t="n">
        <v>11924505.65</v>
      </c>
    </row>
    <row r="39" customFormat="false" ht="12.8" hidden="false" customHeight="false" outlineLevel="0" collapsed="false">
      <c r="H39" s="2"/>
    </row>
    <row r="40" customFormat="false" ht="12.8" hidden="false" customHeight="false" outlineLevel="0" collapsed="false">
      <c r="A40" s="1" t="s">
        <v>276</v>
      </c>
      <c r="H40" s="2"/>
    </row>
    <row r="41" customFormat="false" ht="12.8" hidden="false" customHeight="false" outlineLevel="0" collapsed="false">
      <c r="A41" s="1" t="s">
        <v>256</v>
      </c>
      <c r="I41" s="21"/>
      <c r="O41" s="1" t="n">
        <v>46</v>
      </c>
      <c r="P41" s="1" t="n">
        <v>66</v>
      </c>
      <c r="Q41" s="1" t="n">
        <v>47</v>
      </c>
      <c r="R41" s="25" t="n">
        <v>45.56</v>
      </c>
      <c r="S41" s="25" t="n">
        <v>45.56</v>
      </c>
      <c r="T41" s="25" t="n">
        <v>45.56</v>
      </c>
      <c r="U41" s="36" t="n">
        <v>45.56</v>
      </c>
      <c r="V41" s="25" t="n">
        <v>45.56</v>
      </c>
      <c r="W41" s="25" t="n">
        <v>45.56</v>
      </c>
      <c r="X41" s="25" t="n">
        <v>45.56</v>
      </c>
      <c r="Y41" s="25"/>
      <c r="Z41" s="25"/>
      <c r="AA41" s="36" t="n">
        <v>61.44</v>
      </c>
      <c r="AB41" s="36" t="n">
        <v>265.32</v>
      </c>
      <c r="AC41" s="25" t="n">
        <v>309.4</v>
      </c>
      <c r="AD41" s="25" t="n">
        <v>309.4</v>
      </c>
      <c r="AF41" s="25" t="n">
        <v>61.44</v>
      </c>
      <c r="AG41" s="36" t="n">
        <v>61.44</v>
      </c>
      <c r="AH41" s="25" t="n">
        <v>61.44</v>
      </c>
      <c r="AJ41" s="25" t="n">
        <v>185.6</v>
      </c>
      <c r="AK41" s="36" t="n">
        <v>201.56</v>
      </c>
      <c r="AL41" s="25" t="n">
        <v>204.4</v>
      </c>
      <c r="AM41" s="36" t="n">
        <v>186</v>
      </c>
      <c r="AN41" s="25" t="n">
        <v>264.56</v>
      </c>
      <c r="AO41" s="36" t="n">
        <v>224.88</v>
      </c>
      <c r="AP41" s="36" t="n">
        <v>186.06</v>
      </c>
      <c r="AQ41" s="25" t="n">
        <v>201.66</v>
      </c>
      <c r="AR41" s="25" t="n">
        <v>271.4</v>
      </c>
      <c r="AS41" s="36" t="n">
        <v>273.06</v>
      </c>
      <c r="AU41" s="25" t="n">
        <v>118.46</v>
      </c>
      <c r="AV41" s="36" t="n">
        <v>117.96</v>
      </c>
      <c r="AW41" s="25" t="n">
        <v>117.96</v>
      </c>
      <c r="AY41" s="25" t="n">
        <v>1231.86</v>
      </c>
      <c r="BA41" s="36" t="n">
        <v>101.44</v>
      </c>
      <c r="BB41" s="36" t="n">
        <v>101.44</v>
      </c>
      <c r="BC41" s="36" t="n">
        <v>101.44</v>
      </c>
      <c r="BD41" s="36" t="n">
        <v>101.44</v>
      </c>
      <c r="BE41" s="36" t="n">
        <v>101.44</v>
      </c>
      <c r="BF41" s="36" t="n">
        <v>101.44</v>
      </c>
      <c r="BG41" s="36" t="n">
        <v>101.44</v>
      </c>
      <c r="BH41" s="25" t="n">
        <v>106.08</v>
      </c>
      <c r="BI41" s="36" t="n">
        <v>100.92</v>
      </c>
      <c r="BJ41" s="25" t="n">
        <v>117.18</v>
      </c>
      <c r="BL41" s="36" t="n">
        <v>337.28</v>
      </c>
      <c r="BM41" s="36" t="n">
        <v>337.28</v>
      </c>
      <c r="BN41" s="36" t="n">
        <v>337.28</v>
      </c>
      <c r="BO41" s="25" t="n">
        <v>337.28</v>
      </c>
      <c r="BP41" s="36" t="n">
        <v>338.06</v>
      </c>
    </row>
    <row r="42" customFormat="false" ht="12.8" hidden="false" customHeight="false" outlineLevel="0" collapsed="false">
      <c r="A42" s="1" t="s">
        <v>257</v>
      </c>
      <c r="J42" s="21"/>
      <c r="K42" s="21"/>
      <c r="R42" s="21" t="n">
        <v>2862.82</v>
      </c>
      <c r="S42" s="21" t="n">
        <v>8816.84</v>
      </c>
      <c r="T42" s="21" t="n">
        <v>8816.84</v>
      </c>
      <c r="U42" s="21"/>
      <c r="V42" s="21"/>
      <c r="W42" s="21" t="n">
        <v>8816.84</v>
      </c>
      <c r="X42" s="21" t="n">
        <v>8816.84</v>
      </c>
      <c r="Y42" s="21"/>
      <c r="Z42" s="21"/>
      <c r="AA42" s="36"/>
      <c r="AB42" s="36"/>
      <c r="AC42" s="25"/>
      <c r="AD42" s="25"/>
      <c r="AF42" s="2"/>
      <c r="AG42" s="2"/>
      <c r="AH42" s="2"/>
      <c r="AJ42" s="2"/>
      <c r="AK42" s="2"/>
      <c r="AL42" s="2"/>
      <c r="AM42" s="2"/>
      <c r="AN42" s="2"/>
      <c r="AO42" s="2"/>
      <c r="AP42" s="2"/>
      <c r="AQ42" s="2"/>
      <c r="AS42" s="2"/>
      <c r="AU42" s="2"/>
      <c r="AV42" s="2"/>
      <c r="AW42" s="2"/>
      <c r="AY42" s="2"/>
      <c r="BA42" s="2"/>
      <c r="BB42" s="2"/>
      <c r="BC42" s="2"/>
      <c r="BD42" s="2"/>
      <c r="BE42" s="2"/>
      <c r="BF42" s="2"/>
      <c r="BG42" s="2"/>
      <c r="BH42" s="2"/>
      <c r="BI42" s="2"/>
      <c r="BJ42" s="2"/>
      <c r="BL42" s="2"/>
      <c r="BM42" s="2"/>
      <c r="BN42" s="2"/>
      <c r="BO42" s="2"/>
      <c r="BP42" s="2"/>
    </row>
    <row r="43" customFormat="false" ht="12.8" hidden="false" customHeight="false" outlineLevel="0" collapsed="false">
      <c r="A43" s="1" t="s">
        <v>258</v>
      </c>
      <c r="J43" s="21"/>
      <c r="K43" s="21"/>
      <c r="O43" s="1" t="n">
        <v>348000</v>
      </c>
      <c r="P43" s="1" t="n">
        <v>122000</v>
      </c>
      <c r="Q43" s="1" t="n">
        <v>84000</v>
      </c>
      <c r="R43" s="26" t="n">
        <v>124040</v>
      </c>
      <c r="S43" s="26" t="n">
        <v>466644.2</v>
      </c>
      <c r="T43" s="26" t="n">
        <v>466644.2</v>
      </c>
      <c r="U43" s="26" t="n">
        <v>348020.34</v>
      </c>
      <c r="V43" s="38" t="n">
        <v>348020.34</v>
      </c>
      <c r="W43" s="26" t="n">
        <v>466644.2</v>
      </c>
      <c r="X43" s="26" t="n">
        <v>466644.2</v>
      </c>
      <c r="Y43" s="26"/>
      <c r="Z43" s="26"/>
      <c r="AA43" s="38" t="n">
        <v>112136.52</v>
      </c>
      <c r="AB43" s="38" t="n">
        <v>113887</v>
      </c>
      <c r="AC43" s="26" t="n">
        <v>114973.56</v>
      </c>
      <c r="AD43" s="26" t="n">
        <v>114973.56</v>
      </c>
      <c r="AF43" s="26" t="n">
        <v>112136.52</v>
      </c>
      <c r="AG43" s="38" t="n">
        <v>112136.52</v>
      </c>
      <c r="AH43" s="26" t="n">
        <v>112136.52</v>
      </c>
      <c r="AJ43" s="26" t="n">
        <v>113898.16</v>
      </c>
      <c r="AK43" s="38" t="n">
        <v>113898.08</v>
      </c>
      <c r="AL43" s="26" t="n">
        <v>113898</v>
      </c>
      <c r="AM43" s="38" t="n">
        <v>113898.16</v>
      </c>
      <c r="AN43" s="26" t="n">
        <v>113887</v>
      </c>
      <c r="AO43" s="38" t="n">
        <v>113891.32</v>
      </c>
      <c r="AP43" s="38" t="n">
        <v>113979.44</v>
      </c>
      <c r="AQ43" s="26" t="n">
        <v>113978.58</v>
      </c>
      <c r="AR43" s="25" t="n">
        <v>113885.26</v>
      </c>
      <c r="AS43" s="38" t="n">
        <v>113742.42</v>
      </c>
      <c r="AU43" s="26" t="n">
        <v>95450.26</v>
      </c>
      <c r="AV43" s="38" t="n">
        <v>100420.94</v>
      </c>
      <c r="AW43" s="26" t="n">
        <v>100339.56</v>
      </c>
      <c r="AY43" s="26" t="n">
        <v>357556.92</v>
      </c>
      <c r="BA43" s="38" t="n">
        <v>92658.78</v>
      </c>
      <c r="BB43" s="38" t="n">
        <v>92658.78</v>
      </c>
      <c r="BC43" s="38" t="n">
        <v>92658.78</v>
      </c>
      <c r="BD43" s="38" t="n">
        <v>92658.78</v>
      </c>
      <c r="BE43" s="38" t="n">
        <v>92660.96</v>
      </c>
      <c r="BF43" s="38" t="n">
        <v>92660.96</v>
      </c>
      <c r="BG43" s="38" t="n">
        <v>92660.96</v>
      </c>
      <c r="BH43" s="26" t="n">
        <v>94039.94</v>
      </c>
      <c r="BI43" s="38" t="n">
        <v>95076.96</v>
      </c>
      <c r="BJ43" s="26" t="n">
        <v>99756.52</v>
      </c>
      <c r="BL43" s="38" t="n">
        <v>140559.48</v>
      </c>
      <c r="BM43" s="38" t="n">
        <v>140559.48</v>
      </c>
      <c r="BN43" s="38" t="n">
        <v>140559.48</v>
      </c>
      <c r="BO43" s="26" t="n">
        <v>140543.68</v>
      </c>
      <c r="BP43" s="38" t="n">
        <v>140548.72</v>
      </c>
    </row>
    <row r="44" customFormat="false" ht="12.8" hidden="false" customHeight="false" outlineLevel="0" collapsed="false">
      <c r="J44" s="21"/>
      <c r="K44" s="21"/>
    </row>
    <row r="45" customFormat="false" ht="12.8" hidden="false" customHeight="false" outlineLevel="0" collapsed="false">
      <c r="A45" s="1" t="s">
        <v>260</v>
      </c>
    </row>
    <row r="46" customFormat="false" ht="12.8" hidden="false" customHeight="false" outlineLevel="0" collapsed="false">
      <c r="A46" s="1" t="s">
        <v>261</v>
      </c>
    </row>
    <row r="47" customFormat="false" ht="12.8" hidden="false" customHeight="false" outlineLevel="0" collapsed="false">
      <c r="A47" s="1" t="s">
        <v>262</v>
      </c>
      <c r="O47" s="1" t="n">
        <v>276000</v>
      </c>
      <c r="P47" s="1" t="n">
        <v>230000</v>
      </c>
      <c r="Q47" s="1" t="n">
        <v>232000</v>
      </c>
      <c r="R47" s="35" t="n">
        <v>480670.02</v>
      </c>
      <c r="S47" s="35" t="n">
        <v>480670.02</v>
      </c>
      <c r="T47" s="35" t="n">
        <v>480670.02</v>
      </c>
      <c r="U47" s="35" t="n">
        <v>276081.3</v>
      </c>
      <c r="V47" s="35" t="n">
        <v>276081.3</v>
      </c>
      <c r="W47" s="35" t="n">
        <v>480670.02</v>
      </c>
      <c r="X47" s="35" t="n">
        <v>480670.02</v>
      </c>
      <c r="Y47" s="35"/>
      <c r="Z47" s="35"/>
      <c r="AA47" s="35" t="n">
        <v>231020.72</v>
      </c>
      <c r="AB47" s="35" t="n">
        <v>233574.76</v>
      </c>
      <c r="AC47" s="35" t="n">
        <v>230461.8</v>
      </c>
      <c r="AD47" s="35" t="n">
        <v>230461.8</v>
      </c>
    </row>
    <row r="48" customFormat="false" ht="12.8" hidden="false" customHeight="false" outlineLevel="0" collapsed="false">
      <c r="A48" s="1" t="s">
        <v>263</v>
      </c>
      <c r="J48" s="21"/>
      <c r="K48" s="21"/>
      <c r="O48" s="1" t="n">
        <v>3239000</v>
      </c>
      <c r="P48" s="1" t="n">
        <v>662000</v>
      </c>
      <c r="Q48" s="1" t="n">
        <v>635000</v>
      </c>
      <c r="R48" s="20" t="n">
        <v>3239287.04</v>
      </c>
      <c r="S48" s="20" t="n">
        <v>3239287.04</v>
      </c>
      <c r="T48" s="20" t="n">
        <v>3239287.04</v>
      </c>
      <c r="U48" s="35" t="n">
        <v>3239287.04</v>
      </c>
      <c r="V48" s="35" t="n">
        <v>3239287.04</v>
      </c>
      <c r="W48" s="20" t="n">
        <v>3239287.04</v>
      </c>
      <c r="X48" s="20" t="n">
        <v>3239287.04</v>
      </c>
      <c r="Y48" s="20"/>
      <c r="Z48" s="20"/>
      <c r="AA48" s="35" t="n">
        <v>663108.24</v>
      </c>
      <c r="AB48" s="35" t="n">
        <v>663124.76</v>
      </c>
      <c r="AC48" s="35" t="n">
        <v>662847.08</v>
      </c>
      <c r="AD48" s="35" t="n">
        <v>662847.08</v>
      </c>
      <c r="AE48" s="2"/>
    </row>
    <row r="49" customFormat="false" ht="12.8" hidden="false" customHeight="false" outlineLevel="0" collapsed="false">
      <c r="J49" s="21"/>
      <c r="K49" s="21"/>
    </row>
    <row r="50" customFormat="false" ht="12.8" hidden="false" customHeight="false" outlineLevel="0" collapsed="false">
      <c r="A50" s="1" t="s">
        <v>266</v>
      </c>
    </row>
    <row r="51" customFormat="false" ht="12.8" hidden="false" customHeight="false" outlineLevel="0" collapsed="false">
      <c r="A51" s="1" t="s">
        <v>267</v>
      </c>
    </row>
    <row r="53" customFormat="false" ht="12.8" hidden="false" customHeight="false" outlineLevel="0" collapsed="false">
      <c r="A53" s="1" t="s">
        <v>268</v>
      </c>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row>
    <row r="54" customFormat="false" ht="12.8" hidden="false" customHeight="false" outlineLevel="0" collapsed="false">
      <c r="A54" s="1" t="s">
        <v>267</v>
      </c>
      <c r="O54" s="1" t="n">
        <v>5322</v>
      </c>
      <c r="P54" s="1" t="n">
        <v>6556</v>
      </c>
      <c r="Q54" s="1" t="n">
        <v>5151</v>
      </c>
      <c r="R54" s="35" t="n">
        <v>6019.16513178787</v>
      </c>
      <c r="S54" s="35" t="n">
        <v>6034.3724992061</v>
      </c>
      <c r="T54" s="35" t="n">
        <v>6034.3724992061</v>
      </c>
      <c r="U54" s="35" t="n">
        <v>5246.35535090505</v>
      </c>
      <c r="V54" s="35" t="n">
        <v>5246.35535090505</v>
      </c>
      <c r="W54" s="35" t="n">
        <v>6034.3724992061</v>
      </c>
      <c r="X54" s="35" t="n">
        <v>6034.3724992061</v>
      </c>
      <c r="AA54" s="35" t="n">
        <v>6745.82089552239</v>
      </c>
      <c r="AB54" s="35" t="n">
        <v>6866.40203239124</v>
      </c>
      <c r="AC54" s="35" t="n">
        <v>6848.5265163544</v>
      </c>
      <c r="AD54" s="35" t="n">
        <v>6848.5265163544</v>
      </c>
      <c r="AF54" s="26" t="n">
        <v>6745.73705938393</v>
      </c>
      <c r="AG54" s="26" t="n">
        <v>6745.510955859</v>
      </c>
      <c r="AH54" s="26" t="n">
        <v>6745.54271197205</v>
      </c>
      <c r="AJ54" s="26" t="n">
        <v>7359.74214036202</v>
      </c>
      <c r="AN54" s="26" t="n">
        <v>6866.26865671642</v>
      </c>
      <c r="AO54" s="26" t="n">
        <v>7138.35185773261</v>
      </c>
      <c r="AP54" s="26" t="n">
        <v>7056.20990790727</v>
      </c>
      <c r="AQ54" s="26" t="n">
        <v>6933.62718323277</v>
      </c>
      <c r="AR54" s="26" t="n">
        <v>6885.2892981899</v>
      </c>
      <c r="AS54" s="26" t="n">
        <v>7549.03080342966</v>
      </c>
      <c r="AU54" s="26" t="n">
        <v>5491.28993331216</v>
      </c>
      <c r="AV54" s="26" t="n">
        <v>7219.42711972055</v>
      </c>
      <c r="AW54" s="26" t="n">
        <v>6724.55192124484</v>
      </c>
      <c r="AY54" s="26" t="n">
        <v>5712.15909812639</v>
      </c>
      <c r="BA54" s="20" t="n">
        <v>5431.22991425849</v>
      </c>
      <c r="BB54" s="20" t="n">
        <v>5431.22991425849</v>
      </c>
      <c r="BC54" s="20" t="n">
        <v>5431.22991425849</v>
      </c>
      <c r="BD54" s="20" t="n">
        <v>5431.22991425849</v>
      </c>
      <c r="BE54" s="35" t="n">
        <v>5431.2330898698</v>
      </c>
      <c r="BF54" s="35" t="n">
        <v>5431.2330898698</v>
      </c>
      <c r="BG54" s="35" t="n">
        <v>5431.2330898698</v>
      </c>
      <c r="BH54" s="35" t="n">
        <v>5431.23467767545</v>
      </c>
      <c r="BI54" s="20" t="n">
        <v>5444.81867259447</v>
      </c>
      <c r="BJ54" s="35" t="n">
        <v>5516.11622737377</v>
      </c>
      <c r="BL54" s="35" t="n">
        <v>5468.68656716418</v>
      </c>
      <c r="BM54" s="20" t="n">
        <v>5468.68656716418</v>
      </c>
      <c r="BN54" s="20" t="n">
        <v>5468.68656716418</v>
      </c>
      <c r="BO54" s="20" t="n">
        <v>5462.83423308987</v>
      </c>
      <c r="BP54" s="20" t="n">
        <v>5639.91552873928</v>
      </c>
    </row>
    <row r="55" customFormat="false" ht="12.8" hidden="false" customHeight="false" outlineLevel="0" collapsed="false">
      <c r="J55" s="21"/>
      <c r="K55" s="21"/>
    </row>
    <row r="56" customFormat="false" ht="12.8" hidden="false" customHeight="false" outlineLevel="0" collapsed="false">
      <c r="A56" s="1" t="s">
        <v>271</v>
      </c>
      <c r="O56" s="1" t="n">
        <f aca="false">AVERAGE(O41,O43,O47,O48,O54)</f>
        <v>773673.6</v>
      </c>
      <c r="P56" s="1" t="n">
        <f aca="false">AVERAGE(P41,P43,P47,P48,P54)</f>
        <v>204124.4</v>
      </c>
      <c r="Q56" s="1" t="n">
        <f aca="false">AVERAGE(Q41,Q43,Q47,Q48,Q54)</f>
        <v>191239.6</v>
      </c>
      <c r="R56" s="1" t="n">
        <f aca="false">AVERAGE(R41,R43,R47,R48,R54)</f>
        <v>770012.357026358</v>
      </c>
      <c r="S56" s="1" t="n">
        <f aca="false">AVERAGE(S41,S43,S47,S48,S54)</f>
        <v>838536.238499841</v>
      </c>
      <c r="T56" s="1" t="n">
        <f aca="false">AVERAGE(T41,T43,T47,T48,T54)</f>
        <v>838536.238499841</v>
      </c>
      <c r="U56" s="1" t="n">
        <f aca="false">AVERAGE(U41,U43,U47,U48,U54)</f>
        <v>773736.119070181</v>
      </c>
      <c r="V56" s="1" t="n">
        <f aca="false">AVERAGE(V41,V43,V47,V48,V54)</f>
        <v>773736.119070181</v>
      </c>
      <c r="W56" s="1" t="n">
        <f aca="false">AVERAGE(W41,W43,W47,W48,W54)</f>
        <v>838536.238499841</v>
      </c>
      <c r="X56" s="1" t="n">
        <f aca="false">AVERAGE(X41,X43,X47,X48,X54)</f>
        <v>838536.238499841</v>
      </c>
      <c r="AA56" s="1" t="n">
        <f aca="false">AVERAGE(AA41,AA43,AA47,AA48,AA54)</f>
        <v>202614.548179105</v>
      </c>
      <c r="AB56" s="1" t="n">
        <f aca="false">AVERAGE(AB41,AB43,AB47,AB48,AB54)</f>
        <v>203543.648406478</v>
      </c>
      <c r="AC56" s="1" t="n">
        <f aca="false">AVERAGE(AC41,AC43,AC47,AC48,AC54)</f>
        <v>203088.073303271</v>
      </c>
      <c r="AD56" s="1" t="n">
        <f aca="false">AVERAGE(AD41,AD43,AD47,AD48,AD54)</f>
        <v>203088.073303271</v>
      </c>
    </row>
    <row r="57" customFormat="false" ht="12.8" hidden="false" customHeight="false" outlineLevel="0" collapsed="false">
      <c r="A57" s="1" t="s">
        <v>272</v>
      </c>
      <c r="O57" s="1" t="n">
        <f aca="false">AVERAGE(O38,O41,O43,O47,O48,O54,)</f>
        <v>2652624</v>
      </c>
      <c r="P57" s="1" t="n">
        <f aca="false">AVERAGE(P38,P41,P43,P47,P48,P54,)</f>
        <v>1822803.14285714</v>
      </c>
      <c r="Q57" s="1" t="n">
        <f aca="false">AVERAGE(Q38,Q41,Q43,Q47,Q48,Q54,)</f>
        <v>1668028.28571429</v>
      </c>
      <c r="U57" s="1" t="n">
        <f aca="false">AVERAGE(U38,U41,U43,U47,U48,U54,)</f>
        <v>2652695.5064787</v>
      </c>
      <c r="V57" s="1" t="n">
        <f aca="false">AVERAGE(V38,V41,V43,V47,V48,V54,)</f>
        <v>2652695.5064787</v>
      </c>
      <c r="AA57" s="1" t="n">
        <f aca="false">AVERAGE(AA38,AA41,AA43,AA47,AA48,AA54,)</f>
        <v>1829677.08584222</v>
      </c>
      <c r="AB57" s="1" t="n">
        <f aca="false">AVERAGE(AB38,AB41,AB43,AB47,AB48,AB54,)</f>
        <v>1883269.02600463</v>
      </c>
      <c r="AC57" s="1" t="n">
        <f aca="false">AVERAGE(AC38,AC41,AC43,AC47,AC48,AC54,)</f>
        <v>1873862.59807377</v>
      </c>
      <c r="AD57" s="1" t="n">
        <f aca="false">AVERAGE(AD38,AD41,AD43,AD47,AD48,AD54,)</f>
        <v>1873862.59807377</v>
      </c>
    </row>
    <row r="62" customFormat="false" ht="12.8" hidden="false" customHeight="false" outlineLevel="0" collapsed="false">
      <c r="BE62" s="2"/>
      <c r="BF62" s="2"/>
      <c r="BG62" s="2"/>
    </row>
    <row r="63" customFormat="false" ht="12.8" hidden="false" customHeight="false" outlineLevel="0" collapsed="false">
      <c r="BE63" s="8" t="s">
        <v>155</v>
      </c>
      <c r="BF63" s="8" t="s">
        <v>162</v>
      </c>
      <c r="BG63" s="8" t="s">
        <v>160</v>
      </c>
    </row>
    <row r="67" customFormat="false" ht="12.8" hidden="false" customHeight="false" outlineLevel="0" collapsed="false">
      <c r="AA67" s="2"/>
      <c r="AB67" s="2"/>
      <c r="AC67" s="2"/>
      <c r="AD67" s="2"/>
      <c r="AF67" s="2"/>
      <c r="AG67" s="2"/>
      <c r="AH67" s="2"/>
    </row>
    <row r="68" customFormat="false" ht="12.8" hidden="false" customHeight="false" outlineLevel="0" collapsed="false">
      <c r="AF68" s="2"/>
      <c r="AG68" s="2"/>
      <c r="AH68" s="2"/>
      <c r="BC68" s="1" t="s">
        <v>340</v>
      </c>
      <c r="BE68" s="1" t="s">
        <v>305</v>
      </c>
      <c r="BF68" s="1" t="s">
        <v>341</v>
      </c>
      <c r="BG68" s="1" t="s">
        <v>342</v>
      </c>
      <c r="BI68" s="12" t="s">
        <v>343</v>
      </c>
      <c r="BK68" s="11" t="s">
        <v>344</v>
      </c>
    </row>
    <row r="69" customFormat="false" ht="12.8" hidden="false" customHeight="false" outlineLevel="0" collapsed="false">
      <c r="AA69" s="21"/>
      <c r="AF69" s="2"/>
      <c r="AG69" s="2"/>
      <c r="AH69" s="2"/>
      <c r="BC69" s="1" t="s">
        <v>345</v>
      </c>
      <c r="BE69" s="21" t="n">
        <v>136.18</v>
      </c>
      <c r="BF69" s="21" t="n">
        <v>136.18</v>
      </c>
      <c r="BG69" s="21" t="n">
        <v>136.18</v>
      </c>
      <c r="BI69" s="1" t="n">
        <v>132.78</v>
      </c>
      <c r="BK69" s="21" t="n">
        <v>136.18</v>
      </c>
    </row>
    <row r="70" customFormat="false" ht="12.8" hidden="false" customHeight="false" outlineLevel="0" collapsed="false">
      <c r="AA70" s="21"/>
      <c r="AB70" s="2"/>
      <c r="AF70" s="2"/>
      <c r="AG70" s="2"/>
      <c r="AH70" s="2"/>
      <c r="BE70" s="2"/>
      <c r="BF70" s="2"/>
      <c r="BG70" s="2"/>
      <c r="BK70" s="2"/>
    </row>
    <row r="71" customFormat="false" ht="12.8" hidden="false" customHeight="false" outlineLevel="0" collapsed="false">
      <c r="AF71" s="2"/>
      <c r="AG71" s="2"/>
      <c r="AH71" s="2"/>
      <c r="BC71" s="1" t="s">
        <v>346</v>
      </c>
      <c r="BE71" s="21" t="n">
        <v>93180.82</v>
      </c>
      <c r="BF71" s="21" t="n">
        <v>93180.82</v>
      </c>
      <c r="BG71" s="21" t="n">
        <v>93180.82</v>
      </c>
      <c r="BI71" s="1" t="n">
        <v>95488.12</v>
      </c>
      <c r="BK71" s="21" t="n">
        <v>93179.02</v>
      </c>
    </row>
    <row r="72" customFormat="false" ht="12.8" hidden="false" customHeight="false" outlineLevel="0" collapsed="false">
      <c r="Y72" s="1" t="s">
        <v>340</v>
      </c>
      <c r="AA72" s="1" t="s">
        <v>138</v>
      </c>
      <c r="AB72" s="1" t="s">
        <v>277</v>
      </c>
      <c r="AC72" s="1" t="s">
        <v>278</v>
      </c>
      <c r="AD72" s="1" t="s">
        <v>279</v>
      </c>
      <c r="AF72" s="2"/>
      <c r="AG72" s="2"/>
      <c r="AH72" s="2"/>
    </row>
    <row r="73" customFormat="false" ht="12.8" hidden="false" customHeight="false" outlineLevel="0" collapsed="false">
      <c r="Y73" s="1" t="s">
        <v>345</v>
      </c>
      <c r="AA73" s="21" t="n">
        <v>341.28</v>
      </c>
      <c r="AB73" s="21" t="n">
        <v>336.96</v>
      </c>
      <c r="AC73" s="21" t="n">
        <v>340.92</v>
      </c>
      <c r="AD73" s="21" t="n">
        <v>341.36</v>
      </c>
      <c r="AF73" s="2"/>
      <c r="AG73" s="2"/>
      <c r="AH73" s="2"/>
    </row>
    <row r="74" customFormat="false" ht="12.8" hidden="false" customHeight="false" outlineLevel="0" collapsed="false">
      <c r="AA74" s="21"/>
      <c r="AB74" s="2"/>
      <c r="AC74" s="2"/>
      <c r="AD74" s="2"/>
      <c r="AF74" s="2"/>
      <c r="AG74" s="2"/>
      <c r="AH74" s="2"/>
      <c r="BI74" s="21"/>
      <c r="BK74" s="2"/>
    </row>
    <row r="75" customFormat="false" ht="12.8" hidden="false" customHeight="false" outlineLevel="0" collapsed="false">
      <c r="Y75" s="1" t="s">
        <v>346</v>
      </c>
      <c r="AA75" s="21" t="n">
        <v>112691.32</v>
      </c>
      <c r="AB75" s="21" t="n">
        <v>113503.12</v>
      </c>
      <c r="AC75" s="21" t="n">
        <v>115892.32</v>
      </c>
      <c r="AD75" s="21" t="n">
        <v>113397.12</v>
      </c>
      <c r="AF75" s="2"/>
      <c r="AG75" s="2"/>
      <c r="AH75" s="2"/>
      <c r="BI75" s="2"/>
      <c r="BK75" s="2"/>
    </row>
    <row r="76" customFormat="false" ht="12.8" hidden="false" customHeight="false" outlineLevel="0" collapsed="false">
      <c r="BI76" s="21"/>
      <c r="BK76"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Z5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Z29" activeCellId="1" sqref="DI16 Z29"/>
    </sheetView>
  </sheetViews>
  <sheetFormatPr defaultColWidth="11.53515625" defaultRowHeight="12.8" zeroHeight="false" outlineLevelRow="0" outlineLevelCol="0"/>
  <sheetData>
    <row r="2" customFormat="false" ht="12.8" hidden="false" customHeight="false" outlineLevel="0" collapsed="false">
      <c r="B2" s="2" t="s">
        <v>347</v>
      </c>
    </row>
    <row r="4" customFormat="false" ht="12.8" hidden="false" customHeight="false" outlineLevel="0" collapsed="false">
      <c r="B4" s="3" t="s">
        <v>348</v>
      </c>
      <c r="O4" s="3" t="s">
        <v>349</v>
      </c>
    </row>
    <row r="6" customFormat="false" ht="12.8" hidden="false" customHeight="false" outlineLevel="0" collapsed="false">
      <c r="B6" s="2" t="s">
        <v>350</v>
      </c>
      <c r="O6" s="2" t="s">
        <v>351</v>
      </c>
    </row>
    <row r="7" customFormat="false" ht="12.8" hidden="false" customHeight="false" outlineLevel="0" collapsed="false">
      <c r="C7" s="2" t="s">
        <v>352</v>
      </c>
      <c r="P7" s="2" t="s">
        <v>352</v>
      </c>
    </row>
    <row r="8" customFormat="false" ht="12.8" hidden="false" customHeight="false" outlineLevel="0" collapsed="false">
      <c r="C8" s="2" t="s">
        <v>353</v>
      </c>
      <c r="P8" s="2" t="s">
        <v>354</v>
      </c>
    </row>
    <row r="9" customFormat="false" ht="12.8" hidden="false" customHeight="false" outlineLevel="0" collapsed="false">
      <c r="D9" s="2" t="s">
        <v>355</v>
      </c>
      <c r="Q9" s="2" t="s">
        <v>356</v>
      </c>
    </row>
    <row r="10" customFormat="false" ht="12.8" hidden="false" customHeight="false" outlineLevel="0" collapsed="false">
      <c r="E10" s="2" t="s">
        <v>357</v>
      </c>
      <c r="I10" s="2" t="s">
        <v>358</v>
      </c>
      <c r="R10" s="2" t="s">
        <v>359</v>
      </c>
    </row>
    <row r="11" customFormat="false" ht="12.8" hidden="false" customHeight="false" outlineLevel="0" collapsed="false">
      <c r="E11" s="2" t="s">
        <v>359</v>
      </c>
      <c r="S11" s="2" t="s">
        <v>357</v>
      </c>
      <c r="W11" s="2" t="s">
        <v>358</v>
      </c>
    </row>
    <row r="12" customFormat="false" ht="12.8" hidden="false" customHeight="false" outlineLevel="0" collapsed="false">
      <c r="F12" s="2" t="s">
        <v>360</v>
      </c>
      <c r="S12" s="2" t="s">
        <v>360</v>
      </c>
    </row>
    <row r="13" customFormat="false" ht="12.8" hidden="false" customHeight="false" outlineLevel="0" collapsed="false">
      <c r="G13" s="2" t="s">
        <v>361</v>
      </c>
      <c r="T13" s="2" t="s">
        <v>362</v>
      </c>
      <c r="W13" s="2" t="s">
        <v>363</v>
      </c>
    </row>
    <row r="14" customFormat="false" ht="12.8" hidden="false" customHeight="false" outlineLevel="0" collapsed="false">
      <c r="F14" s="2" t="s">
        <v>364</v>
      </c>
      <c r="S14" s="2" t="s">
        <v>364</v>
      </c>
    </row>
    <row r="15" customFormat="false" ht="12.8" hidden="false" customHeight="false" outlineLevel="0" collapsed="false">
      <c r="F15" s="2" t="s">
        <v>365</v>
      </c>
      <c r="S15" s="2" t="s">
        <v>365</v>
      </c>
    </row>
    <row r="16" customFormat="false" ht="12.8" hidden="false" customHeight="false" outlineLevel="0" collapsed="false">
      <c r="G16" s="2" t="s">
        <v>366</v>
      </c>
      <c r="T16" s="2" t="s">
        <v>366</v>
      </c>
    </row>
    <row r="17" customFormat="false" ht="12.8" hidden="false" customHeight="false" outlineLevel="0" collapsed="false">
      <c r="G17" s="2" t="s">
        <v>367</v>
      </c>
      <c r="T17" s="2" t="s">
        <v>367</v>
      </c>
    </row>
    <row r="18" customFormat="false" ht="12.8" hidden="false" customHeight="false" outlineLevel="0" collapsed="false">
      <c r="F18" s="2" t="s">
        <v>368</v>
      </c>
      <c r="S18" s="2" t="s">
        <v>368</v>
      </c>
    </row>
    <row r="19" customFormat="false" ht="12.8" hidden="false" customHeight="false" outlineLevel="0" collapsed="false">
      <c r="G19" s="2" t="s">
        <v>369</v>
      </c>
      <c r="T19" s="2" t="s">
        <v>369</v>
      </c>
    </row>
    <row r="20" customFormat="false" ht="12.8" hidden="false" customHeight="false" outlineLevel="0" collapsed="false">
      <c r="E20" s="2" t="s">
        <v>370</v>
      </c>
      <c r="R20" s="2" t="s">
        <v>370</v>
      </c>
    </row>
    <row r="21" customFormat="false" ht="12.8" hidden="false" customHeight="false" outlineLevel="0" collapsed="false">
      <c r="D21" s="2" t="s">
        <v>371</v>
      </c>
      <c r="Q21" s="2" t="s">
        <v>371</v>
      </c>
    </row>
    <row r="22" customFormat="false" ht="12.8" hidden="false" customHeight="false" outlineLevel="0" collapsed="false">
      <c r="E22" s="2" t="s">
        <v>372</v>
      </c>
      <c r="R22" s="2" t="s">
        <v>372</v>
      </c>
    </row>
    <row r="23" customFormat="false" ht="12.8" hidden="false" customHeight="false" outlineLevel="0" collapsed="false">
      <c r="E23" s="2" t="s">
        <v>373</v>
      </c>
      <c r="R23" s="2" t="s">
        <v>373</v>
      </c>
    </row>
    <row r="24" customFormat="false" ht="12.8" hidden="false" customHeight="false" outlineLevel="0" collapsed="false">
      <c r="E24" s="2" t="s">
        <v>374</v>
      </c>
      <c r="R24" s="2" t="s">
        <v>374</v>
      </c>
    </row>
    <row r="25" customFormat="false" ht="12.8" hidden="false" customHeight="false" outlineLevel="0" collapsed="false">
      <c r="D25" s="2" t="s">
        <v>375</v>
      </c>
      <c r="H25" s="2" t="s">
        <v>376</v>
      </c>
      <c r="Q25" s="2" t="s">
        <v>377</v>
      </c>
    </row>
    <row r="26" customFormat="false" ht="12.8" hidden="false" customHeight="false" outlineLevel="0" collapsed="false">
      <c r="E26" s="2" t="s">
        <v>373</v>
      </c>
      <c r="R26" s="2" t="s">
        <v>373</v>
      </c>
    </row>
    <row r="27" customFormat="false" ht="12.8" hidden="false" customHeight="false" outlineLevel="0" collapsed="false">
      <c r="E27" s="2" t="s">
        <v>374</v>
      </c>
      <c r="R27" s="2" t="s">
        <v>374</v>
      </c>
    </row>
    <row r="28" customFormat="false" ht="12.8" hidden="false" customHeight="false" outlineLevel="0" collapsed="false">
      <c r="D28" s="2" t="s">
        <v>377</v>
      </c>
      <c r="H28" s="2" t="s">
        <v>378</v>
      </c>
      <c r="Q28" s="2" t="s">
        <v>379</v>
      </c>
      <c r="Z28" s="2" t="s">
        <v>380</v>
      </c>
    </row>
    <row r="29" customFormat="false" ht="12.8" hidden="false" customHeight="false" outlineLevel="0" collapsed="false">
      <c r="E29" s="2" t="s">
        <v>373</v>
      </c>
      <c r="R29" s="2" t="s">
        <v>373</v>
      </c>
    </row>
    <row r="30" customFormat="false" ht="12.8" hidden="false" customHeight="false" outlineLevel="0" collapsed="false">
      <c r="E30" s="2" t="s">
        <v>374</v>
      </c>
      <c r="R30" s="2" t="s">
        <v>374</v>
      </c>
    </row>
    <row r="31" customFormat="false" ht="12.8" hidden="false" customHeight="false" outlineLevel="0" collapsed="false">
      <c r="D31" s="2" t="s">
        <v>381</v>
      </c>
      <c r="Q31" s="2" t="s">
        <v>382</v>
      </c>
    </row>
    <row r="32" customFormat="false" ht="12.8" hidden="false" customHeight="false" outlineLevel="0" collapsed="false">
      <c r="D32" s="2" t="s">
        <v>383</v>
      </c>
      <c r="R32" s="2" t="s">
        <v>384</v>
      </c>
      <c r="U32" s="2" t="s">
        <v>385</v>
      </c>
    </row>
    <row r="33" customFormat="false" ht="12.8" hidden="false" customHeight="false" outlineLevel="0" collapsed="false">
      <c r="E33" s="2" t="s">
        <v>386</v>
      </c>
      <c r="R33" s="2" t="s">
        <v>387</v>
      </c>
    </row>
    <row r="34" customFormat="false" ht="12.8" hidden="false" customHeight="false" outlineLevel="0" collapsed="false">
      <c r="S34" s="2" t="s">
        <v>373</v>
      </c>
    </row>
    <row r="35" customFormat="false" ht="12.8" hidden="false" customHeight="false" outlineLevel="0" collapsed="false">
      <c r="E35" s="54" t="s">
        <v>388</v>
      </c>
      <c r="S35" s="2" t="s">
        <v>374</v>
      </c>
    </row>
    <row r="36" customFormat="false" ht="12.8" hidden="false" customHeight="false" outlineLevel="0" collapsed="false">
      <c r="E36" s="2" t="s">
        <v>389</v>
      </c>
      <c r="Q36" s="2" t="s">
        <v>390</v>
      </c>
    </row>
    <row r="37" customFormat="false" ht="12.8" hidden="false" customHeight="false" outlineLevel="0" collapsed="false">
      <c r="F37" s="2" t="s">
        <v>391</v>
      </c>
    </row>
    <row r="38" customFormat="false" ht="12.8" hidden="false" customHeight="false" outlineLevel="0" collapsed="false">
      <c r="F38" s="2" t="s">
        <v>392</v>
      </c>
    </row>
    <row r="39" customFormat="false" ht="12.8" hidden="false" customHeight="false" outlineLevel="0" collapsed="false">
      <c r="F39" s="2" t="s">
        <v>393</v>
      </c>
    </row>
    <row r="40" customFormat="false" ht="12.8" hidden="false" customHeight="false" outlineLevel="0" collapsed="false">
      <c r="F40" s="2" t="s">
        <v>394</v>
      </c>
    </row>
    <row r="41" customFormat="false" ht="12.8" hidden="false" customHeight="false" outlineLevel="0" collapsed="false">
      <c r="G41" s="2" t="s">
        <v>395</v>
      </c>
    </row>
    <row r="42" customFormat="false" ht="12.8" hidden="false" customHeight="false" outlineLevel="0" collapsed="false">
      <c r="H42" s="2" t="s">
        <v>396</v>
      </c>
    </row>
    <row r="43" customFormat="false" ht="12.8" hidden="false" customHeight="false" outlineLevel="0" collapsed="false">
      <c r="H43" s="2" t="s">
        <v>397</v>
      </c>
    </row>
    <row r="44" customFormat="false" ht="12.8" hidden="false" customHeight="false" outlineLevel="0" collapsed="false">
      <c r="I44" s="2" t="s">
        <v>398</v>
      </c>
    </row>
    <row r="45" customFormat="false" ht="12.8" hidden="false" customHeight="false" outlineLevel="0" collapsed="false">
      <c r="J45" s="2" t="s">
        <v>399</v>
      </c>
    </row>
    <row r="46" customFormat="false" ht="12.8" hidden="false" customHeight="false" outlineLevel="0" collapsed="false">
      <c r="F46" s="2" t="s">
        <v>400</v>
      </c>
    </row>
    <row r="47" customFormat="false" ht="12.8" hidden="false" customHeight="false" outlineLevel="0" collapsed="false">
      <c r="G47" s="2" t="s">
        <v>401</v>
      </c>
      <c r="L47" s="2" t="s">
        <v>402</v>
      </c>
    </row>
    <row r="48" customFormat="false" ht="12.8" hidden="false" customHeight="false" outlineLevel="0" collapsed="false">
      <c r="G48" s="2" t="s">
        <v>397</v>
      </c>
    </row>
    <row r="49" customFormat="false" ht="12.8" hidden="false" customHeight="false" outlineLevel="0" collapsed="false">
      <c r="H49" s="2" t="s">
        <v>398</v>
      </c>
    </row>
    <row r="50" customFormat="false" ht="12.8" hidden="false" customHeight="false" outlineLevel="0" collapsed="false">
      <c r="I50" s="2" t="s">
        <v>399</v>
      </c>
    </row>
    <row r="52" customFormat="false" ht="12.8" hidden="false" customHeight="false" outlineLevel="0" collapsed="false">
      <c r="D52" s="2" t="s">
        <v>403</v>
      </c>
    </row>
    <row r="53" customFormat="false" ht="12.8" hidden="false" customHeight="false" outlineLevel="0" collapsed="false">
      <c r="E53" s="2" t="s">
        <v>404</v>
      </c>
    </row>
    <row r="54" customFormat="false" ht="12.8" hidden="false" customHeight="false" outlineLevel="0" collapsed="false">
      <c r="D54" s="2" t="s">
        <v>370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17609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2025-06-04T15:11:40Z</dcterms:created>
  <dc:creator/>
  <dc:description/>
  <dc:language>en-NZ</dc:language>
  <cp:lastModifiedBy/>
  <dcterms:modified xsi:type="dcterms:W3CDTF">2025-11-26T15:48:02Z</dcterms:modified>
  <cp:revision>687</cp:revision>
  <dc:subject/>
  <dc:title/>
</cp:coreProperties>
</file>

<file path=docProps/custom.xml><?xml version="1.0" encoding="utf-8"?>
<Properties xmlns="http://schemas.openxmlformats.org/officeDocument/2006/custom-properties" xmlns:vt="http://schemas.openxmlformats.org/officeDocument/2006/docPropsVTypes"/>
</file>