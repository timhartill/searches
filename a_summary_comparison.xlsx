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Expansions_Mono_CLB" sheetId="1" state="visible" r:id="rId3"/>
    <sheet name="Time, Nodes Per Sec, Max Ram NO" sheetId="2" state="visible" r:id="rId4"/>
    <sheet name="Expansions_NonMono_CLB" sheetId="3" state="visible" r:id="rId5"/>
    <sheet name="NBS and DVCHS HOG2" sheetId="4" state="visible" r:id="rId6"/>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<sst xmlns="http://schemas.openxmlformats.org/spreadsheetml/2006/main" count="568" uniqueCount="321">
  <si>
    <t xml:space="preserve">Summary Results – total nodes expanded &lt;= C*. Mine are 2 probs avged, others are full avgs</t>
  </si>
  <si>
    <r>
      <rPr>
        <b val="true"/>
        <sz val="10"/>
        <rFont val="Arial"/>
        <family val="2"/>
        <charset val="1"/>
      </rPr>
      <t xml:space="preserve">BAE* </t>
    </r>
    <r>
      <rPr>
        <sz val="10"/>
        <rFont val="Arial"/>
        <family val="2"/>
        <charset val="1"/>
      </rPr>
      <t xml:space="preserve"> 19-30-57</t>
    </r>
  </si>
  <si>
    <t xml:space="preserve">NBS/NBB WITH NON MONO CLB &lt;C* miscount</t>
  </si>
  <si>
    <t xml:space="preserve">19-30-57</t>
  </si>
  <si>
    <t xml:space="preserve">NBS/NBB MONOTONIC CLB + HOG2 Optimizations (SAME WITH or WITHOUT selFonUSet) 14-02-52 + 23-56-57 + 10-53-29/04-39-38 + 19-30-57</t>
  </si>
  <si>
    <t xml:space="preserve">Single Dir Single (First) Node verF – 10-53-29</t>
  </si>
  <si>
    <t xml:space="preserve">16-27-29 +10-25-57 NonMono CLB, No HOG2 Opts</t>
  </si>
  <si>
    <t xml:space="preserve">DVCBS F MONO CLB, HOG2 OPT, NO selFonUSet 14-02-52  + 23-56-57 + 10-53-29/04-39-38</t>
  </si>
  <si>
    <t xml:space="preserve">DVCBS A MONO CLB, HOG2 OPT, NO selFonUSet 14-02-52  + 23-58-57 + 10-53-29/04-39-38</t>
  </si>
  <si>
    <t xml:space="preserve">MOST CONNECTED MONO CLB, HOG2 OPT, NO selFonUSet 14-02-52 + 23-58-57 + 10-53-29/04-39-38</t>
  </si>
  <si>
    <r>
      <rPr>
        <b val="true"/>
        <sz val="10"/>
        <rFont val="Arial"/>
        <family val="2"/>
        <charset val="1"/>
      </rPr>
      <t xml:space="preserve">SmallestG</t>
    </r>
    <r>
      <rPr>
        <sz val="10"/>
        <rFont val="Arial"/>
        <family val="2"/>
        <charset val="1"/>
      </rPr>
      <t xml:space="preserve"> MONO CLG, HOG2 OPT, NO selFonUSet 14-02-52 + 23-58-57+ 10-53-29/04-39-38</t>
    </r>
  </si>
  <si>
    <r>
      <rPr>
        <b val="true"/>
        <sz val="10"/>
        <rFont val="Arial"/>
        <family val="2"/>
        <charset val="1"/>
      </rPr>
      <t xml:space="preserve">SmallestGF</t>
    </r>
    <r>
      <rPr>
        <sz val="10"/>
        <rFont val="Arial"/>
        <family val="2"/>
        <charset val="1"/>
      </rPr>
      <t xml:space="preserve"> MONO CLG, HOG2 OPT, NO selFonUSet  14-02-52 + 23-58-57+ 10-53-29/04-39-38</t>
    </r>
  </si>
  <si>
    <t xml:space="preserve">GBFHS F MONO CLG, HOG2 OPT, NO selFonUSet 04-49-55 + 10-35-42 + 23-49-57 + 10-53-29/04-39-38</t>
  </si>
  <si>
    <r>
      <rPr>
        <b val="true"/>
        <sz val="10"/>
        <rFont val="Arial"/>
        <family val="2"/>
        <charset val="1"/>
      </rPr>
      <t xml:space="preserve">GBFHS A </t>
    </r>
    <r>
      <rPr>
        <sz val="10"/>
        <rFont val="Arial"/>
        <family val="2"/>
        <charset val="1"/>
      </rPr>
      <t xml:space="preserve">MONO CLG, HOG2 OPT, NO selFonUSet 04-49-55 + 10-35-42 + 23-49-57</t>
    </r>
  </si>
  <si>
    <t xml:space="preserve">Chen NBS_f (no eps)</t>
  </si>
  <si>
    <t xml:space="preserve">Shperberg 2019 (eps case first soln)</t>
  </si>
  <si>
    <t xml:space="preserve">Alacazar et al 2020 (eps case first soln)</t>
  </si>
  <si>
    <t xml:space="preserve">Siag 2023</t>
  </si>
  <si>
    <t xml:space="preserve">No Eps:</t>
  </si>
  <si>
    <t xml:space="preserve">Alter A</t>
  </si>
  <si>
    <t xml:space="preserve">Alter A UG</t>
  </si>
  <si>
    <t xml:space="preserve">Alter A UG Bpmx1</t>
  </si>
  <si>
    <t xml:space="preserve">Alter F UG</t>
  </si>
  <si>
    <t xml:space="preserve">Alter F UG Bpmx1</t>
  </si>
  <si>
    <t xml:space="preserve">Alter I</t>
  </si>
  <si>
    <t xml:space="preserve">Alter I Bpmx1</t>
  </si>
  <si>
    <t xml:space="preserve">Pohl A</t>
  </si>
  <si>
    <t xml:space="preserve">Pohl A UG</t>
  </si>
  <si>
    <t xml:space="preserve">Pohl A UG Bpmx1</t>
  </si>
  <si>
    <t xml:space="preserve">Pohl F UG</t>
  </si>
  <si>
    <t xml:space="preserve">Pohl F UG Bpmx1</t>
  </si>
  <si>
    <t xml:space="preserve">Pohl I</t>
  </si>
  <si>
    <t xml:space="preserve">Pohl I Bpmx1</t>
  </si>
  <si>
    <t xml:space="preserve">Minb A</t>
  </si>
  <si>
    <t xml:space="preserve">Minb A UG</t>
  </si>
  <si>
    <t xml:space="preserve">Rand A</t>
  </si>
  <si>
    <t xml:space="preserve">Rand A UG</t>
  </si>
  <si>
    <t xml:space="preserve">With Eps gap_hog NO TB ie first in lowest g/lowest f:</t>
  </si>
  <si>
    <t xml:space="preserve">NBS F Bpmx1</t>
  </si>
  <si>
    <t xml:space="preserve">NBS F</t>
  </si>
  <si>
    <t xml:space="preserve">UF NBS F</t>
  </si>
  <si>
    <t xml:space="preserve">NBB F</t>
  </si>
  <si>
    <t xml:space="preserve">NBS A</t>
  </si>
  <si>
    <t xml:space="preserve">NBB A</t>
  </si>
  <si>
    <t xml:space="preserve">GBFHS F</t>
  </si>
  <si>
    <t xml:space="preserve">Pohl F</t>
  </si>
  <si>
    <t xml:space="preserve">Rand F</t>
  </si>
  <si>
    <t xml:space="preserve">Rand Rand F</t>
  </si>
  <si>
    <t xml:space="preserve">DVCBS F FIFO Glevel exp</t>
  </si>
  <si>
    <t xml:space="preserve">FIFO Glevel exp</t>
  </si>
  <si>
    <t xml:space="preserve">UF FIFO Glevel exp</t>
  </si>
  <si>
    <t xml:space="preserve">FIFO GF bucket exp</t>
  </si>
  <si>
    <t xml:space="preserve">UF FIFO GF bucket exp</t>
  </si>
  <si>
    <t xml:space="preserve">FIFO F exp</t>
  </si>
  <si>
    <t xml:space="preserve">RAND Glevel exp</t>
  </si>
  <si>
    <t xml:space="preserve">UF RAND Glevel exp</t>
  </si>
  <si>
    <t xml:space="preserve">NONE Glevel exp</t>
  </si>
  <si>
    <t xml:space="preserve">UF NONE Glevel exp</t>
  </si>
  <si>
    <t xml:space="preserve">NONE GF exp</t>
  </si>
  <si>
    <t xml:space="preserve">UF NONE GF exp</t>
  </si>
  <si>
    <t xml:space="preserve">RAND G bucket exp</t>
  </si>
  <si>
    <t xml:space="preserve">UF RAND G bucket exp</t>
  </si>
  <si>
    <t xml:space="preserve">NONE G bucket exp</t>
  </si>
  <si>
    <t xml:space="preserve">UF NONE G bucket exp</t>
  </si>
  <si>
    <t xml:space="preserve">UF NONE Gbucket BPMX1</t>
  </si>
  <si>
    <t xml:space="preserve">MC F</t>
  </si>
  <si>
    <t xml:space="preserve">UF MC F</t>
  </si>
  <si>
    <t xml:space="preserve">UF MC F BPMX1</t>
  </si>
  <si>
    <t xml:space="preserve">MC A</t>
  </si>
  <si>
    <t xml:space="preserve">UF MC A</t>
  </si>
  <si>
    <t xml:space="preserve">Smallest Glevel Exp</t>
  </si>
  <si>
    <t xml:space="preserve">UF Smallest Glevel Exp</t>
  </si>
  <si>
    <t xml:space="preserve">Smallest GF Bucket Exp</t>
  </si>
  <si>
    <t xml:space="preserve">UF Smallest GF Bucket Exp</t>
  </si>
  <si>
    <t xml:space="preserve">NBB dir GBFHS Exp</t>
  </si>
  <si>
    <t xml:space="preserve">Alter dir GBFHS Exp</t>
  </si>
  <si>
    <t xml:space="preserve">GBFHS dir GBFHS Exp</t>
  </si>
  <si>
    <t xml:space="preserve">UF GBFHS dir GBFHS Exp</t>
  </si>
  <si>
    <t xml:space="preserve">GBFHS dir lowg Exp</t>
  </si>
  <si>
    <t xml:space="preserve">UF GBFHS dir lowg Exp</t>
  </si>
  <si>
    <t xml:space="preserve">A*</t>
  </si>
  <si>
    <t xml:space="preserve">NBS_f</t>
  </si>
  <si>
    <t xml:space="preserve">NBS_a</t>
  </si>
  <si>
    <t xml:space="preserve">DVCBS_f</t>
  </si>
  <si>
    <t xml:space="preserve">DVCBS_a</t>
  </si>
  <si>
    <t xml:space="preserve">NBB(NBS_a)</t>
  </si>
  <si>
    <t xml:space="preserve">GBFHS_e</t>
  </si>
  <si>
    <t xml:space="preserve">NBS</t>
  </si>
  <si>
    <t xml:space="preserve">DVCBS</t>
  </si>
  <si>
    <t xml:space="preserve">BAE* (Alter)</t>
  </si>
  <si>
    <t xml:space="preserve">A* TB NONE C&gt;=U Term WITH DUPFIX AND DAOFIX AND TOHFIX</t>
  </si>
  <si>
    <t xml:space="preserve">A* TB -G C&gt;=U Term WITH DUPFIX AND DAOFIX AND TOHFIX</t>
  </si>
  <si>
    <t xml:space="preserve">BiDirLBPairs-lb_alter_first_none_bae_a-dirA-selF-ordNONE-verA-dsD-eps1.0-ufFalse-bpmx1False-himpFalse-rustFalse</t>
  </si>
  <si>
    <t xml:space="preserve">BiDirLBPairs-lb_alter_first_none_bae_a_eps_ug-dirA-selF-ordNONE-verA-dsD-eps1.0-ufTrue-bpmx1False-himpFalse-rustFalse</t>
  </si>
  <si>
    <t xml:space="preserve">BiDirLBPairs-lb_alter_first_none_bae_a_eps_ug_bpmx1-dirA-selF-ordNONE-verA-dsD-eps1.0-ufTrue-bpmx1True-himpFalse-rustFalse</t>
  </si>
  <si>
    <t xml:space="preserve">BiDirLBPairs-lb_alter_first_none_bae_f_eps_ug-dirA-selF-ordNONE-verF-dsD-eps1.0-ufTrue-bpmx1False-himpFalse-rustFalse</t>
  </si>
  <si>
    <t xml:space="preserve">BiDirLBPairs-lb_alter_first_none_bae_f_eps_ug_bpmx1-dirA-selF-ordNONE-verF-dsD-eps1.0-ufTrue-bpmx1True-himpFalse-rustFalse</t>
  </si>
  <si>
    <t xml:space="preserve">BiDirLBPairs-lb_alter_first_none_bae_i_eps-dirA-selF-ordNONE-verI-dsD-eps1.0-ufFalse-bpmx1False-himpFalse-rustFalse</t>
  </si>
  <si>
    <t xml:space="preserve">BiDirLBPairs-lb_alter_first_none_bae_i_eps_bpmx1-dirA-selF-ordNONE-verI-dsD-eps1.0-ufFalse-bpmx1True-himpFalse-rustFalse</t>
  </si>
  <si>
    <t xml:space="preserve">BiDirLBPairs-lb_pohl_first_none_bae_a-dirP-selF-ordNONE-verA-dsD-eps1.0-ufFalse-bpmx1False-himpFalse-rustFalse</t>
  </si>
  <si>
    <t xml:space="preserve">BiDirLBPairs-lb_pohl_first_none_bae_a_eps_ug-dirP-selF-ordNONE-verA-dsD-eps1.0-ufTrue-bpmx1False-himpFalse-rustFalse</t>
  </si>
  <si>
    <t xml:space="preserve">BiDirLBPairs-lb_pohl_first_none_bae_a_eps_ug_bpmx1-dirP-selF-ordNONE-verA-dsD-eps1.0-ufTrue-bpmx1True-himpFalse-rustFalse</t>
  </si>
  <si>
    <t xml:space="preserve">BiDirLBPairs-lb_pohl_first_none_bae_f_eps_ug-dirP-selF-ordNONE-verF-dsD-eps1.0-ufTrue-bpmx1False-himpFalse-rustFalse</t>
  </si>
  <si>
    <t xml:space="preserve">BiDirLBPairs-lb_pohl_first_none_bae_f_eps_ug_bpmx1-dirP-selF-ordNONE-verF-dsD-eps1.0-ufTrue-bpmx1True-himpFalse-rustFalse</t>
  </si>
  <si>
    <t xml:space="preserve">BiDirLBPairs-lb_pohl_first_none_bae_i_eps-dirP-selF-ordNONE-verI-dsD-eps1.0-ufFalse-bpmx1False-himpFalse-rustFalse</t>
  </si>
  <si>
    <t xml:space="preserve">BiDirLBPairs-lb_minb_first_none_bae_a-dirG-selF-ordNONE-verA-dsD-eps1.0-ufFalse-bpmx1False-himpFalse-rustFalse</t>
  </si>
  <si>
    <t xml:space="preserve">BiDirLBPairs-lb_minb_first_none_bae_a_eps_ug-dirG-selF-ordNONE-verA-dsD-eps1.0-ufTrue-bpmx1False-himpFalse-rustFalse</t>
  </si>
  <si>
    <t xml:space="preserve">BiDirLBPairs-lb_rand_first_none_bae_a-dirR-selF-ordNONE-verA-dsD-eps1.0-ufFalse-bpmx1False-himpFalse-rustFalse</t>
  </si>
  <si>
    <t xml:space="preserve">BiDirLBPairs-lb_rand_first_none_bae_a_eps_ug-dirR-selF-ordNONE-verA-dsD-eps1.0-ufTrue-bpmx1False-himpFalse-rustFalse</t>
  </si>
  <si>
    <t xml:space="preserve">NBS_f TB NONE</t>
  </si>
  <si>
    <t xml:space="preserve">NBB_f TB NONE</t>
  </si>
  <si>
    <t xml:space="preserve">NBS_a TB NONE</t>
  </si>
  <si>
    <t xml:space="preserve">NBB_a TB NONE</t>
  </si>
  <si>
    <t xml:space="preserve">BiDirLBPairs-lb_nbs_f_eps_bpmx1-dirNBS-selF-ordNONE-verF-dsP-eps1.0-ufFalse-bpmx1True-himpFalse-rustFalse</t>
  </si>
  <si>
    <t xml:space="preserve">BiDirLBPairs-lb_nbs_f_eps-dirNBS-selF-ordNONE-verF-dsP-eps1.0</t>
  </si>
  <si>
    <t xml:space="preserve">BiDirLBPairs-lb_nbs_f_eps_uf-dirNBS-selF-ordNONE-verF-dsP-eps1.0-ufTrue</t>
  </si>
  <si>
    <t xml:space="preserve">BiDirLBPairs-lb_nbb_f_eps-dirNBS-selF-ordNONE-verF-dsB-eps1.0</t>
  </si>
  <si>
    <t xml:space="preserve">BiDirLBPairs-lb_nbs_a_eps-dirNBS-selF-ordNONE-verA-dsP-eps1.0</t>
  </si>
  <si>
    <t xml:space="preserve">BiDirLBPairs-lb_nbb_a_eps-dirNBS-selF-ordNONE-verA-dsB-eps1.0</t>
  </si>
  <si>
    <t xml:space="preserve">BiDirLBPairs-lb_gbfhs_first_f_eps-dirGBF-selF-ordNONE-verF-dsB-eps1.0-ufFalse</t>
  </si>
  <si>
    <t xml:space="preserve">BiDirLBPairs-lb_pohl_first_none_f_eps-dirP-selF-ordNONE-verF-dsB-eps1.0-ufFalse</t>
  </si>
  <si>
    <t xml:space="preserve">BiDirLBPairs-lb_rand_first_none_f_eps-dirR-selF-ordNONE-verF-dsB-eps1.0-ufFalse</t>
  </si>
  <si>
    <t xml:space="preserve">BiDirLBPairs-lb_rand_rand_f_eps-dirR-selR-ordNONE-verF-dsB-eps1.0-ufFalse</t>
  </si>
  <si>
    <t xml:space="preserve">BiDirLBPairs-lb_mwvcsmallg_lowg_fifo_dvcbs_f_eps-dirSM0-selLG-ordFIFO-verF-dsB-eps1.0</t>
  </si>
  <si>
    <t xml:space="preserve">BiDirLBPairs-lb_mwvcsmallg_lowg_fifo_dvcbs_f_eps_uf-dirSM0-selLG-ordFIFO-verF-dsB-eps1.0-ufTrue</t>
  </si>
  <si>
    <t xml:space="preserve">BiDirLBPairs-lb_mwvcsmallgf_lowg_fifo_dvcbs_f_eps-dirSBM0-selSLG-ordFIFO-verF-dsB-eps1.0</t>
  </si>
  <si>
    <t xml:space="preserve">BiDirLBPairs-lb_mwvcsmallgf_lowg_fifo_dvcbs_f_eps_uf-dirSBM0-selSLG-ordFIFO-verF-dsB-eps1.0-ufTrue</t>
  </si>
  <si>
    <t xml:space="preserve">BiDirLBPairs-lb_mwvcsmallg_firstlowg_fifo_dvcbs_f_eps-dirSM0-selF-ordFIFO-verF-dsB-eps1.0</t>
  </si>
  <si>
    <t xml:space="preserve">BiDirLBPairs-lb_mwvcsmallg_lowg_rand_f_eps-dirSM0-selLG-ordR-verF-dsB-eps1.0</t>
  </si>
  <si>
    <t xml:space="preserve">BiDirLBPairs-lb_mwvcsmallg_lowg_rand_f_eps_uf-dirSM0-selLG-ordR-verF-dsB-eps1.0-ufTrue</t>
  </si>
  <si>
    <t xml:space="preserve">BiDirLBPairs-lb_mwvcsmallg_lowg_none_f_eps-dirSM0-selLG-ordNONE-verF-dsB-eps1.0</t>
  </si>
  <si>
    <t xml:space="preserve">BiDirLBPairs-lb_mwvcsmallg_lowg_none_f_eps_uf-dirSM0-selLG-ordNONE-verF-dsB-eps1.0-ufTrue</t>
  </si>
  <si>
    <t xml:space="preserve">BiDirLBPairs-lb_mwvcsmallgf_lowg_none_dvcbs_f_eps-dirSBM0-selSLG-ordNONE-verF-dsB-eps1.0-ufFalse</t>
  </si>
  <si>
    <t xml:space="preserve">BiDirLBPairs-lb_mwvcsmallgf_lowg_none_dvcbs_f_eps_uf-dirSBM0-selSLG-ordNONE-verF-dsB-eps1.0-ufTrue</t>
  </si>
  <si>
    <t xml:space="preserve">BiDirLBPairs-lb_mwvcsmallg_lowg_fifo_dvcbs_a_eps-dirSM0-selLG-ordFIFO-verA-dsB-eps1.0</t>
  </si>
  <si>
    <t xml:space="preserve">BiDirLBPairs-lb_mwvcsmallg_lowg_fifo_dvcbs_a_eps_uf-dirSM0-selLG-ordFIFO-verA-dsB-eps1.0-ufTrue</t>
  </si>
  <si>
    <t xml:space="preserve">BiDirLBPairs-lb_mwvcsmallgf_lowg_fifo_dvcbs_a_eps-dirSBM0-selSLG-ordFIFO-verA-dsB-eps1.0</t>
  </si>
  <si>
    <t xml:space="preserve">BiDirLBPairs-lb_mwvcsmallgf_lowg_fifo_dvcbs_a_eps_uf-dirSBM0-selSLG-ordFIFO-verA-dsB-eps1.0-ufTrue</t>
  </si>
  <si>
    <t xml:space="preserve">BiDirLBPairs-lb_mwvcsmallg_firstlowg_fifo_dvcbs_a_eps-dirSM0-selF-ordFIFO-verA-dsB-eps1.0</t>
  </si>
  <si>
    <t xml:space="preserve">BiDirLBPairs-lb_mwvcsmallg_lowg_rand_a_eps-dirSM0-selLG-ordR-verA-dsB-eps1.0</t>
  </si>
  <si>
    <t xml:space="preserve">BiDirLBPairs-lb_mwvcsmallg_lowg_rand_a_eps_uf-dirSM0-selLG-ordR-verA-dsB-eps1.0-ufTrue</t>
  </si>
  <si>
    <t xml:space="preserve">BiDirLBPairs-lb_mwvcsmallg_lowg_none_dvcbs_a_eps-dirSM0-selLG-ordNONE-verA-dsB-eps1.0</t>
  </si>
  <si>
    <t xml:space="preserve">BiDirLBPairs-lb_mwvcsmallg_lowg_none_dvcbs_a_eps_uf-dirSM0-selLG-ordNONE-verA-dsB-eps1.0-ufTrue</t>
  </si>
  <si>
    <t xml:space="preserve">BiDirLBPairs-lb_mwvcsmallg_lowg_none_dvcbs_a_eps_uf_bpmx1-dirSM0-selLG-ordNONE-verA-dsB-eps1.0-ufTrue-bpmx1True-himpFalse-rustFalse</t>
  </si>
  <si>
    <t xml:space="preserve">BiDirLBPairs-lb_mostconnectednodes_connln_f_eps-dirLN-selLN-ordNONE-verF-dsB-eps1.0 OR IDENTICALLY BiDirLBPairs-lb_mwvcmostconnectednodes_lowg_f_eps-dirLM0-selLG-ordNONE-verF-dsB-eps1.0</t>
  </si>
  <si>
    <t xml:space="preserve">BiDirLBPairs-lb_mostconnectednodes_connln_f_eps_uf-dirLN-selLN-ordNONE-verF-dsB-eps1.0-ufTrue</t>
  </si>
  <si>
    <t xml:space="preserve">BiDirLBPairs-lb_mwvcmostconnectednodes_lowg_a_eps-dirLM0-selLG-ordNONE-verA-dsB-eps1.0</t>
  </si>
  <si>
    <t xml:space="preserve">BiDirLBPairs-lb_mostconnectednodes_connln_a_eps_uf-dirLN-selLN-ordNONE-verA-dsB-eps1.0-ufTrue</t>
  </si>
  <si>
    <t xml:space="preserve">BiDirLBPairs-lb_smallg_lowg_none_f_eps-dirS0-selLG-ordNONE-verF-dsB-eps1.0</t>
  </si>
  <si>
    <t xml:space="preserve">BiDirLBPairs-lb_smallg_lowg_none_f_eps_uf-dirS0-selLG-ordNONE-verF-dsB-eps1.0-ufTrue</t>
  </si>
  <si>
    <t xml:space="preserve">BiDirLBPairs-lb_smallgf_smallblowg_f_eps-dirSB-selSBL-ordNONE-verF-dsB-eps1.0</t>
  </si>
  <si>
    <t xml:space="preserve">BiDirLBPairs-lb_smallgf_smallblowg_f_eps_uf-dirSB-selSBL-ordNONE-verF-dsB-eps1.0-ufTrue</t>
  </si>
  <si>
    <t xml:space="preserve">BiDirLBPairs-lb_nbb_gbfhs_f_eps-dirNBS-selGBF-ordNONE-verF-dsB-eps1.0</t>
  </si>
  <si>
    <t xml:space="preserve">BiDirLBPairs-lb_alter_gbfhs_f_eps-dirA-selGBF-ordNONE-verF-dsB-eps1.0</t>
  </si>
  <si>
    <t xml:space="preserve">BiDirLBPairs-lb_gbfhs_gbfhs_f_eps-dirGBF-selGBF-ordNONE-verF-dsB-eps1.0</t>
  </si>
  <si>
    <t xml:space="preserve">BiDirLBPairs-lb_gbfhs_gbfhs_f_eps_uf-dirGBF-selGBF-ordNONE-verF-dsB-eps1.0-ufTrue</t>
  </si>
  <si>
    <t xml:space="preserve">BiDirLBPairs-lb_gbfhs_lowg_f_eps-dirGBF-selLG-ordNONE-verF-dsB-eps1.0</t>
  </si>
  <si>
    <t xml:space="preserve">BiDirLBPairs-lb_gbfhs_lowg_f_eps_uf-dirGBF-selLG-ordNONE-verF-dsB-eps1.0-ufTrue</t>
  </si>
  <si>
    <t xml:space="preserve">BiDirLBPairs-lb_nbb_gbfhs_a_eps-dirNBS-selGBF-ordNONE-verA-dsB-eps1.0</t>
  </si>
  <si>
    <t xml:space="preserve">BiDirLBPairs-lb_gbfhs_gbfhs_a_eps_uf-dirGBF-selGBF-ordNONE-verA-dsB-eps1.0-ufTrue</t>
  </si>
  <si>
    <t xml:space="preserve">15 Puzzle</t>
  </si>
  <si>
    <t xml:space="preserve">BiDirLBPairs-lb_mwvcsmallg_lowg_none_dvcbs_f_eps-dirSM0-selLG-ordNONE-verF-dsB-eps1.0-ufFalse</t>
  </si>
  <si>
    <t xml:space="preserve">BiDirLBPairs-lb_mwvcsmallg_lowg_none_dvcbs_f_eps_uf-dirSM0-selLG-ordNONE-verF-dsB-eps1.0-ufTrue</t>
  </si>
  <si>
    <t xml:space="preserve">BiDirLBPairs-lb_mwvcsmallg_lowg_none_dvcbs_a_eps-dirSM0-selLG-ordNONE-verA-dsB-eps1.0-ufFalse</t>
  </si>
  <si>
    <t xml:space="preserve">BiDirLBPairs-lb_mostconnectednodes_lowg_f_eps-dirLN0-selLG-ordNONE-verF-dsB-eps1.0-ufFalse</t>
  </si>
  <si>
    <t xml:space="preserve">BiDirLBPairs-lb_mostconnectednodes_lowg_f_eps_uf-dirLN0-selLG-ordNONE-verF-dsB-eps1.0-ufTrue</t>
  </si>
  <si>
    <t xml:space="preserve">BiDirLBPairs-lb_smallg_lowg_none_f_eps-dirS0-selLG-ordNONE-verF-dsB-eps1.0-ufFalse</t>
  </si>
  <si>
    <t xml:space="preserve">BiDirLBPairs-lb_smallgf_smallblowg_f_eps-dirSB-selSBL-ordNONE-verF-dsB-eps1.0-ufFalse</t>
  </si>
  <si>
    <t xml:space="preserve">BiDirLBPairs-lb_gbfhs_gbfhs_f_eps-dirGBF-selGBF-ordNONE-verF-dsB-eps1.0-ufFalse</t>
  </si>
  <si>
    <t xml:space="preserve">BiDirLBPairs-lb_gbfhs_lowg_f_eps-dirGBF-selLG-ordNONE-verF-dsB-eps1.0-ufFalse</t>
  </si>
  <si>
    <t xml:space="preserve">2 test d0</t>
  </si>
  <si>
    <t xml:space="preserve">Std 100 d0 – manhattan</t>
  </si>
  <si>
    <t xml:space="preserve">Std 100 – manhattan_i</t>
  </si>
  <si>
    <t xml:space="preserve">Pancake – GAP (hog) not SymGap</t>
  </si>
  <si>
    <t xml:space="preserve">14 Pancake D0</t>
  </si>
  <si>
    <t xml:space="preserve">14 Pancake D1</t>
  </si>
  <si>
    <t xml:space="preserve">14 Pancake D2</t>
  </si>
  <si>
    <t xml:space="preserve">14 Pancake – GAP_I</t>
  </si>
  <si>
    <t xml:space="preserve">TOH 4 Peg 12 disk</t>
  </si>
  <si>
    <t xml:space="preserve">InfinitePegRelaxation</t>
  </si>
  <si>
    <t xml:space="preserve">Pdb_4_10+2</t>
  </si>
  <si>
    <t xml:space="preserve">Pdb_4_6+6</t>
  </si>
  <si>
    <t xml:space="preserve">Mazes</t>
  </si>
  <si>
    <t xml:space="preserve">d0</t>
  </si>
  <si>
    <t xml:space="preserve">DAO</t>
  </si>
  <si>
    <t xml:space="preserve">D0 – Octile</t>
  </si>
  <si>
    <t xml:space="preserve">Octile-I</t>
  </si>
  <si>
    <t xml:space="preserve">Avg Excl Mazes, Tile, Pan 1</t>
  </si>
  <si>
    <t xml:space="preserve">Avg</t>
  </si>
  <si>
    <t xml:space="preserve">Did they use difft tiebreaker for A* for domain</t>
  </si>
  <si>
    <t xml:space="preserve">Expansions &lt; C*</t>
  </si>
  <si>
    <t xml:space="preserve">BAE*</t>
  </si>
  <si>
    <t xml:space="preserve">Pancake – GAP not SymGap</t>
  </si>
  <si>
    <t xml:space="preserve">NBS_f TB FIFO</t>
  </si>
  <si>
    <t xml:space="preserve">NBS_f TB LIFO</t>
  </si>
  <si>
    <t xml:space="preserve">NBS_f TB RAND</t>
  </si>
  <si>
    <t xml:space="preserve">With Eps No TB:</t>
  </si>
  <si>
    <t xml:space="preserve">AVG TIME (secs)</t>
  </si>
  <si>
    <t xml:space="preserve">Std 100 d0</t>
  </si>
  <si>
    <t xml:space="preserve">Nodes / Sec</t>
  </si>
  <si>
    <t xml:space="preserve">Approx Max Ram</t>
  </si>
  <si>
    <t xml:space="preserve">Tim (eps)</t>
  </si>
  <si>
    <t xml:space="preserve">02-47-19</t>
  </si>
  <si>
    <t xml:space="preserve">02-47-19 + 16-27-29 + 10-25-57</t>
  </si>
  <si>
    <t xml:space="preserve">Ver F</t>
  </si>
  <si>
    <t xml:space="preserve">20-23-08 + 10-25-57</t>
  </si>
  <si>
    <t xml:space="preserve">Ver A</t>
  </si>
  <si>
    <t xml:space="preserve">NBS FIFO ver F gap_hog:</t>
  </si>
  <si>
    <t xml:space="preserve">NBS LIFO</t>
  </si>
  <si>
    <t xml:space="preserve">NBS Rand</t>
  </si>
  <si>
    <t xml:space="preserve">NBB Highest Exp G ver F Gap hog</t>
  </si>
  <si>
    <t xml:space="preserve">NBB LowG highF – other tb similar to RAND</t>
  </si>
  <si>
    <t xml:space="preserve">NBB RAND</t>
  </si>
  <si>
    <t xml:space="preserve">Rand Rand (Rand any g any f ie now RA)</t>
  </si>
  <si>
    <t xml:space="preserve">Alter F</t>
  </si>
  <si>
    <t xml:space="preserve">POHL F</t>
  </si>
  <si>
    <t xml:space="preserve">Smallest G first</t>
  </si>
  <si>
    <t xml:space="preserve">Smallest GF (tb towards highest G) </t>
  </si>
  <si>
    <t xml:space="preserve">Smallest GF (tb towards lowest G) </t>
  </si>
  <si>
    <t xml:space="preserve">UNI fwd</t>
  </si>
  <si>
    <t xml:space="preserve">Mostconnected</t>
  </si>
  <si>
    <t xml:space="preserve">DVCBS (FIFO )</t>
  </si>
  <si>
    <t xml:space="preserve">Ver A MWVC</t>
  </si>
  <si>
    <t xml:space="preserve">A* OPTEXPGOAL TB NONE – stop when u updated in expand</t>
  </si>
  <si>
    <t xml:space="preserve">A* TB NONE C&gt;=U Term no forcelowtb</t>
  </si>
  <si>
    <t xml:space="preserve">A* TB -G C&gt;=U Term no forcelowtb</t>
  </si>
  <si>
    <t xml:space="preserve">A* TB NONE NORMALGoalTerminate NOForceLowTB</t>
  </si>
  <si>
    <t xml:space="preserve">A* TB -G NORMALGoalTerminate NOForceLowTB</t>
  </si>
  <si>
    <t xml:space="preserve">BiDirLBPairs-lb_nbs_fifo_f_eps-dirNBS-selF-ordFIFO-verF-dsP-eps1.0</t>
  </si>
  <si>
    <t xml:space="preserve">BiDirLBPairs-lb_nbs_lifo_f_eps-dirNBS-selF-ordLIFO-verF-dsP-eps1.0</t>
  </si>
  <si>
    <t xml:space="preserve">BiDirLBPairs-lb_nbs_rand_f_eps-dirNBS-selF-ordR-verF-dsP-eps1.0</t>
  </si>
  <si>
    <t xml:space="preserve">BiDirLBPairs-lb_nbb_highg_rand_f_eps-dirNBS-selFHG-ordR-verF-dsB-eps1.0</t>
  </si>
  <si>
    <t xml:space="preserve">NBB Highest Exp G LIFO</t>
  </si>
  <si>
    <t xml:space="preserve">NBB Highest Exp G FIFO</t>
  </si>
  <si>
    <t xml:space="preserve">NBB Highest Exp G NONE</t>
  </si>
  <si>
    <t xml:space="preserve">BiDirLBPairs-lb_nbb_highf_rand_f_eps-dirNBS-selFHF-ordR-verF-dsB-eps1.0</t>
  </si>
  <si>
    <t xml:space="preserve">BiDirLBPairs-lb_nbb_rand_f_eps-dirNBS-selR-ordNONE-verF-dsB-eps1.0</t>
  </si>
  <si>
    <t xml:space="preserve">BiDirLBPairs-lb_rand_rand_f_eps-dirR-selR-ordNONE-verF-dsB-eps1.0</t>
  </si>
  <si>
    <t xml:space="preserve">BiDirLBPairs-lb_rand_first_none_f_eps-dirR-selF-ordNONE-verF-dsB-eps1.0</t>
  </si>
  <si>
    <t xml:space="preserve">BiDirLBPairs-lb_alter_first_none_f_eps-dirA-selF-ordNONE-verF-dsB-eps1.0</t>
  </si>
  <si>
    <t xml:space="preserve">BiDirLBPairs-lb_pohl_first_none_f_eps-dirP-selF-ordNONE-verF-dsB-eps1.0</t>
  </si>
  <si>
    <t xml:space="preserve">BiDirLBPairs-lb_smallg_first_none_f_eps-dirS-selF-ordNONE-verF-dsB-eps1.0</t>
  </si>
  <si>
    <t xml:space="preserve">BiDirLBPairs-lb_smallgf_smallbhighg_f_eps-dirSB-selSB-ordNONE-verF-dsB-eps1.0 (Tb toward highest g)</t>
  </si>
  <si>
    <t xml:space="preserve">BiDirLBPairs-lb_fwd_first_none_f_eps-dirF-selF-ordNONE-verF-dsB-eps1.0</t>
  </si>
  <si>
    <t xml:space="preserve">BiDirLBPairs-lb_mostconnectednodes_connln_f_eps-dirLN-selLN-ordNONE-verF-dsB-eps1.0</t>
  </si>
  <si>
    <t xml:space="preserve">BiDirLBPairs-lb_mostconnectednodes_lowg_f_eps-dirLN0-selLG-ordNONE-verF-dsB-eps1.0</t>
  </si>
  <si>
    <t xml:space="preserve">BiDirLBPairs-lb_mwvcmostconnectednodes_lowg_f_eps-dirLM0-selLG-ordNONE-verF-dsB-eps1.0</t>
  </si>
  <si>
    <t xml:space="preserve">BiDirLBPairs-lb_mwvcmostconnectednodes_mwvcconnln_f_eps-dirLM-selLM-ordNONE-verF-dsB-eps1.0</t>
  </si>
  <si>
    <t xml:space="preserve">BiDirLBPairs-lb_mwvcsmallg_mwvcsmallg_none_f_eps-dirSM-selSM-ordNONE-verF-dsB-eps1.0</t>
  </si>
  <si>
    <t xml:space="preserve">BiDirLBPairs-lb_smallg_smallg_none_f_eps-dirS-selSG-ordNONE-verF-dsB-eps1.0</t>
  </si>
  <si>
    <t xml:space="preserve">BiDirLBPairs-lb_mostconnectednodes_connln_a_eps-dirLN-selLN-ordNONE-verA-dsB-eps1.0</t>
  </si>
  <si>
    <t xml:space="preserve">BiDirLBPairs-lb_mwvcmostconnectednodes_mwvcconnln_a_eps-dirLM-selLM-ordNONE-verA-dsB-eps1.0</t>
  </si>
  <si>
    <t xml:space="preserve">BiDirLBPairs-lb_mwvcsmallg_mwvcsmallg_none_a_eps-dirSM-selSM-ordNONE-verA-dsB-eps1.0</t>
  </si>
  <si>
    <t xml:space="preserve">Summary</t>
  </si>
  <si>
    <t xml:space="preserve">A* seems too high</t>
  </si>
  <si>
    <t xml:space="preserve">Mazes: How are others choosing? I’m slightly higher</t>
  </si>
  <si>
    <t xml:space="preserve">50 Std 14-Pancake</t>
  </si>
  <si>
    <t xml:space="preserve">DVCBS (NONE)</t>
  </si>
  <si>
    <t xml:space="preserve">DVCBS (RANDOM)</t>
  </si>
  <si>
    <t xml:space="preserve">NO Min WVC</t>
  </si>
  <si>
    <t xml:space="preserve">Most connected, with/without M WVC</t>
  </si>
  <si>
    <t xml:space="preserve">D0</t>
  </si>
  <si>
    <t xml:space="preserve">D2</t>
  </si>
  <si>
    <t xml:space="preserve">Siag Fork of Alcazar Fork: Code in question is in BiHS-Consistent-F2E/conference/apps/bidirectional/</t>
  </si>
  <si>
    <t xml:space="preserve">NBS HOG2 Implementation Trace of key elements</t>
  </si>
  <si>
    <t xml:space="preserve">DVCBS HOG2 Implementation Trace of key elements</t>
  </si>
  <si>
    <t xml:space="preserve">nbs.h: getpath()</t>
  </si>
  <si>
    <t xml:space="preserve">dvcbs.h: getpath()</t>
  </si>
  <si>
    <t xml:space="preserve">init search()</t>
  </si>
  <si>
    <t xml:space="preserve">While not Expandapath():</t>
  </si>
  <si>
    <t xml:space="preserve">While not ExpandAVertexCover():</t>
  </si>
  <si>
    <t xml:space="preserve">result = nbsqueue.h:getnextpair():</t>
  </si>
  <si>
    <t xml:space="preserve">result = dvcbsqueue.h:getVertexCover():</t>
  </si>
  <si>
    <t xml:space="preserve">While WaitD.f &lt; CLB: MoveToReadyD</t>
  </si>
  <si>
    <t xml:space="preserve"># VER A &lt;=</t>
  </si>
  <si>
    <t xml:space="preserve">While True:</t>
  </si>
  <si>
    <t xml:space="preserve">if ReadyF.g + ReadyB.g + eps &lt;= CLB:</t>
  </si>
  <si>
    <t xml:space="preserve">RETURN TRUE </t>
  </si>
  <si>
    <t xml:space="preserve">CALC MWVC and RETURN TRUE </t>
  </si>
  <si>
    <t xml:space="preserve"># Doesnt actually expand nodes here contrary to pseudocode, just figures out which nodes are in any MWVC and performs explicit tiebreaking to select the subset to expand (smallest set in lowest g in MWVC). Sets pointers the the selected nodes</t>
  </si>
  <si>
    <t xml:space="preserve">Chg = False</t>
  </si>
  <si>
    <t xml:space="preserve">If WaitD.f &lt;= CLB:</t>
  </si>
  <si>
    <t xml:space="preserve">MoveOneToReadyD</t>
  </si>
  <si>
    <t xml:space="preserve">Chg = True</t>
  </si>
  <si>
    <t xml:space="preserve">If not Chg:</t>
  </si>
  <si>
    <t xml:space="preserve">CLB = min(WaitF.f, WaitB.f, ReadyF.g + ReadyB.g + eps)</t>
  </si>
  <si>
    <t xml:space="preserve">RETURN FALSE</t>
  </si>
  <si>
    <t xml:space="preserve">if not result:</t>
  </si>
  <si>
    <t xml:space="preserve">If U = inf: RETURN TRUE</t>
  </si>
  <si>
    <t xml:space="preserve">Extract Path</t>
  </si>
  <si>
    <t xml:space="preserve">RETURN TRUE</t>
  </si>
  <si>
    <t xml:space="preserve">elif VER F and ReadyF.state = ReadyB.state: </t>
  </si>
  <si>
    <t xml:space="preserve"># NOT in our code</t>
  </si>
  <si>
    <t xml:space="preserve">elif (VER F and CLB &gt;= U ) OR (VER A &gt; U):</t>
  </si>
  <si>
    <t xml:space="preserve"># in our main loop we are stopping at first solution even if VER = A so our stoping cirteria is CLB &gt;= U in both cases</t>
  </si>
  <si>
    <t xml:space="preserve">elif expanding in both directions and ANY about to be expanded forward state = ANY about to be expanded backward state: </t>
  </si>
  <si>
    <t xml:space="preserve"># NOT in our code – but COULD be a good optimization if expanding lots of nodes in BOTH directions: BUT I think it only affects the expansion count slightly since in our implementation FWD nodes are expanded then added to g_score fwd dict (and generated) and then BWD checks gscore fwd dict, updates U and then new CLB &gt;= U check in expand loop will cause algo to terminate before any further expansions occur – so diff is the expansions in this round but really the Siag check is a hack that reduces the expansion count by doing the check in a new loop before expanding anything!</t>
  </si>
  <si>
    <t xml:space="preserve">counts[CLB] += 2</t>
  </si>
  <si>
    <t xml:space="preserve">Various loops around ExpandForward/Backward:</t>
  </si>
  <si>
    <t xml:space="preserve">ExpandForward():</t>
  </si>
  <si>
    <t xml:space="preserve">ExpandForward (or Backward)</t>
  </si>
  <si>
    <t xml:space="preserve"># Expand seems essentially similar to NBS Expand</t>
  </si>
  <si>
    <t xml:space="preserve">current = ReadyF.pop() &amp; put current in ClosedList</t>
  </si>
  <si>
    <t xml:space="preserve">if CLB &gt;= U:</t>
  </si>
  <si>
    <t xml:space="preserve">if current.g + current.h &gt;= U: RETURN</t>
  </si>
  <si>
    <t xml:space="preserve">Foreach neighbour of Current:</t>
  </si>
  <si>
    <t xml:space="preserve">Return FALSE</t>
  </si>
  <si>
    <t xml:space="preserve">tent_g_cost = cost(current, neighbour) + current.g</t>
  </si>
  <si>
    <t xml:space="preserve">if tent_g_cost &gt;= U: CONTINUE</t>
  </si>
  <si>
    <t xml:space="preserve">if neighbour in ClosedList: CONTINUE</t>
  </si>
  <si>
    <t xml:space="preserve">elif neighbour in WAIT U READY:</t>
  </si>
  <si>
    <t xml:space="preserve">if tent_g_cost &lt; neighbour.g:</t>
  </si>
  <si>
    <t xml:space="preserve">update neighbour.g and path</t>
  </si>
  <si>
    <t xml:space="preserve">if neighbour in Backward WAIT U READY:</t>
  </si>
  <si>
    <t xml:space="preserve">if tent_g_cost + opposite.g &lt; U:</t>
  </si>
  <si>
    <t xml:space="preserve">U = tent_g_cost + opposite.g</t>
  </si>
  <si>
    <t xml:space="preserve">elif neighbour is new:</t>
  </si>
  <si>
    <t xml:space="preserve">add neighbour to WAIT or READY if neighbour.f &lt; CLB</t>
  </si>
  <si>
    <t xml:space="preserve"># We always add to Wait. Won’t make a difference for NBS since next loop iteration will move to Ready anyway but might make a difference for DVCBS IF the DVCBS expansion routine in this main loop iteration picks up nodes that were added in this iteration</t>
  </si>
  <si>
    <t xml:space="preserve">ExpandBackward():</t>
  </si>
  <si>
    <t xml:space="preserve">As per ExpandForward</t>
  </si>
</sst>
</file>

<file path=xl/styles.xml><?xml version="1.0" encoding="utf-8"?>
<styleSheet xmlns="http://schemas.openxmlformats.org/spreadsheetml/2006/main">
  <numFmts count="2">
    <numFmt numFmtId="164" formatCode="General"/>
    <numFmt numFmtId="165" formatCode="#,##0.00"/>
  </numFmts>
  <fonts count="7">
    <font>
      <sz val="10"/>
      <name val="Arial"/>
      <family val="2"/>
      <charset val="1"/>
    </font>
    <font>
      <sz val="10"/>
      <name val="Arial"/>
      <family val="0"/>
    </font>
    <font>
      <sz val="10"/>
      <name val="Arial"/>
      <family val="0"/>
    </font>
    <font>
      <sz val="10"/>
      <name val="Arial"/>
      <family val="0"/>
    </font>
    <font>
      <b val="true"/>
      <sz val="10"/>
      <name val="Arial"/>
      <family val="2"/>
      <charset val="1"/>
    </font>
    <font>
      <sz val="10"/>
      <color rgb="FF00A933"/>
      <name val="Arial"/>
      <family val="2"/>
      <charset val="1"/>
    </font>
    <font>
      <i val="true"/>
      <sz val="10"/>
      <name val="Arial"/>
      <family val="2"/>
      <charset val="1"/>
    </font>
  </fonts>
  <fills count="2">
    <fill>
      <patternFill patternType="none"/>
    </fill>
    <fill>
      <patternFill patternType="gray125"/>
    </fill>
  </fills>
  <borders count="17">
    <border diagonalUp="false" diagonalDown="false">
      <left/>
      <right/>
      <top/>
      <bottom/>
      <diagonal/>
    </border>
    <border diagonalUp="false" diagonalDown="false">
      <left style="medium"/>
      <right style="thin"/>
      <top/>
      <bottom/>
      <diagonal/>
    </border>
    <border diagonalUp="false" diagonalDown="false">
      <left style="medium"/>
      <right style="thin"/>
      <top style="thin"/>
      <bottom/>
      <diagonal/>
    </border>
    <border diagonalUp="false" diagonalDown="false">
      <left style="medium"/>
      <right style="thin"/>
      <top style="thin"/>
      <bottom style="thin"/>
      <diagonal/>
    </border>
    <border diagonalUp="false" diagonalDown="false">
      <left style="thin"/>
      <right/>
      <top style="thin"/>
      <bottom style="thin"/>
      <diagonal/>
    </border>
    <border diagonalUp="false" diagonalDown="false">
      <left/>
      <right/>
      <top style="thin"/>
      <bottom style="thin"/>
      <diagonal/>
    </border>
    <border diagonalUp="false" diagonalDown="false">
      <left style="thin"/>
      <right/>
      <top/>
      <bottom/>
      <diagonal/>
    </border>
    <border diagonalUp="false" diagonalDown="false">
      <left style="thin"/>
      <right/>
      <top style="thin"/>
      <bottom/>
      <diagonal/>
    </border>
    <border diagonalUp="false" diagonalDown="false">
      <left style="thin"/>
      <right/>
      <top/>
      <bottom style="thin"/>
      <diagonal/>
    </border>
    <border diagonalUp="false" diagonalDown="false">
      <left/>
      <right/>
      <top style="thin"/>
      <bottom/>
      <diagonal/>
    </border>
    <border diagonalUp="false" diagonalDown="false">
      <left/>
      <right/>
      <top/>
      <bottom style="thin"/>
      <diagonal/>
    </border>
    <border diagonalUp="false" diagonalDown="false">
      <left/>
      <right style="thin"/>
      <top style="thin"/>
      <bottom style="thin"/>
      <diagonal/>
    </border>
    <border diagonalUp="false" diagonalDown="false">
      <left/>
      <right style="thin"/>
      <top style="thin"/>
      <bottom/>
      <diagonal/>
    </border>
    <border diagonalUp="false" diagonalDown="false">
      <left/>
      <right style="thin"/>
      <top/>
      <bottom/>
      <diagonal/>
    </border>
    <border diagonalUp="false" diagonalDown="false">
      <left/>
      <right style="thin"/>
      <top/>
      <bottom style="thin"/>
      <diagonal/>
    </border>
    <border diagonalUp="false" diagonalDown="false">
      <left style="thin"/>
      <right style="thin"/>
      <top style="thin"/>
      <bottom style="thin"/>
      <diagonal/>
    </border>
    <border diagonalUp="false" diagonalDown="false">
      <left style="thin"/>
      <right style="thin"/>
      <top/>
      <bottom style="thin"/>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0" fillId="0" borderId="0" applyFont="true" applyBorder="false" applyAlignment="true" applyProtection="false">
      <alignment horizontal="left"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cellStyleXfs>
  <cellXfs count="46">
    <xf numFmtId="164"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general" vertical="bottom" textRotation="0" wrapText="false" indent="0" shrinkToFit="false"/>
      <protection locked="true" hidden="false"/>
    </xf>
    <xf numFmtId="165" fontId="5" fillId="0" borderId="0" xfId="0" applyFont="true" applyBorder="false" applyAlignment="true" applyProtection="true">
      <alignment horizontal="general" vertical="bottom" textRotation="0" wrapText="false" indent="0" shrinkToFit="false"/>
      <protection locked="true" hidden="false"/>
    </xf>
    <xf numFmtId="165" fontId="0" fillId="0" borderId="1" xfId="20" applyFont="true" applyBorder="true" applyAlignment="true" applyProtection="true">
      <alignment horizontal="left"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5" fontId="0" fillId="0" borderId="2" xfId="20" applyFont="true" applyBorder="true" applyAlignment="true" applyProtection="true">
      <alignment horizontal="left" vertical="bottom" textRotation="0" wrapText="false" indent="0" shrinkToFit="false"/>
      <protection locked="true" hidden="false"/>
    </xf>
    <xf numFmtId="165" fontId="0" fillId="0" borderId="3" xfId="20" applyFont="true" applyBorder="true" applyAlignment="true" applyProtection="true">
      <alignment horizontal="left" vertical="bottom" textRotation="0" wrapText="false" indent="0" shrinkToFit="false"/>
      <protection locked="true" hidden="false"/>
    </xf>
    <xf numFmtId="164" fontId="0" fillId="0" borderId="2" xfId="20" applyFont="true" applyBorder="true" applyAlignment="true" applyProtection="true">
      <alignment horizontal="left" vertical="bottom" textRotation="0" wrapText="false" indent="0" shrinkToFit="false"/>
      <protection locked="true" hidden="false"/>
    </xf>
    <xf numFmtId="164" fontId="0" fillId="0" borderId="0" xfId="20" applyFont="true" applyBorder="true" applyAlignment="true" applyProtection="true">
      <alignment horizontal="left" vertical="bottom" textRotation="0" wrapText="false" indent="0" shrinkToFit="false"/>
      <protection locked="true" hidden="false"/>
    </xf>
    <xf numFmtId="165" fontId="0" fillId="0" borderId="0" xfId="20" applyFont="true" applyBorder="true" applyAlignment="true" applyProtection="true">
      <alignment horizontal="left" vertical="bottom" textRotation="0" wrapText="false" indent="0" shrinkToFit="false"/>
      <protection locked="true" hidden="false"/>
    </xf>
    <xf numFmtId="165" fontId="0" fillId="0" borderId="4" xfId="21" applyFont="false" applyBorder="true" applyAlignment="true" applyProtection="true">
      <alignment horizontal="general" vertical="bottom" textRotation="0" wrapText="false" indent="0" shrinkToFit="false"/>
      <protection locked="true" hidden="false"/>
    </xf>
    <xf numFmtId="165" fontId="0" fillId="0" borderId="5" xfId="21" applyFont="false" applyBorder="true" applyAlignment="true" applyProtection="true">
      <alignment horizontal="general" vertical="bottom" textRotation="0" wrapText="false" indent="0" shrinkToFit="false"/>
      <protection locked="true" hidden="false"/>
    </xf>
    <xf numFmtId="165" fontId="0" fillId="0" borderId="0" xfId="21" applyFont="false" applyBorder="false" applyAlignment="false" applyProtection="false">
      <alignment horizontal="general" vertical="bottom" textRotation="0" wrapText="false" indent="0" shrinkToFit="false"/>
      <protection locked="true" hidden="false"/>
    </xf>
    <xf numFmtId="165" fontId="0" fillId="0" borderId="6" xfId="21" applyFont="false" applyBorder="true" applyAlignment="true" applyProtection="true">
      <alignment horizontal="general" vertical="bottom" textRotation="0" wrapText="false" indent="0" shrinkToFit="false"/>
      <protection locked="true" hidden="false"/>
    </xf>
    <xf numFmtId="165" fontId="0" fillId="0" borderId="7" xfId="21" applyFont="false" applyBorder="true" applyAlignment="true" applyProtection="true">
      <alignment horizontal="general" vertical="bottom" textRotation="0" wrapText="false" indent="0" shrinkToFit="false"/>
      <protection locked="true" hidden="false"/>
    </xf>
    <xf numFmtId="165" fontId="0" fillId="0" borderId="8" xfId="21" applyFont="false" applyBorder="true" applyAlignment="true" applyProtection="true">
      <alignment horizontal="general" vertical="bottom" textRotation="0" wrapText="false" indent="0" shrinkToFit="false"/>
      <protection locked="true" hidden="false"/>
    </xf>
    <xf numFmtId="165" fontId="0" fillId="0" borderId="0" xfId="21" applyFont="false" applyBorder="true" applyAlignment="true" applyProtection="true">
      <alignment horizontal="general" vertical="bottom" textRotation="0" wrapText="false" indent="0" shrinkToFit="false"/>
      <protection locked="true" hidden="false"/>
    </xf>
    <xf numFmtId="165" fontId="0" fillId="0" borderId="9" xfId="21" applyFont="false" applyBorder="true" applyAlignment="true" applyProtection="true">
      <alignment horizontal="general" vertical="bottom" textRotation="0" wrapText="false" indent="0" shrinkToFit="false"/>
      <protection locked="true" hidden="false"/>
    </xf>
    <xf numFmtId="165" fontId="0" fillId="0" borderId="10" xfId="21" applyFont="false" applyBorder="true" applyAlignment="true" applyProtection="true">
      <alignment horizontal="general" vertical="bottom" textRotation="0" wrapText="false" indent="0" shrinkToFit="false"/>
      <protection locked="true" hidden="false"/>
    </xf>
    <xf numFmtId="164" fontId="0" fillId="0" borderId="6" xfId="21" applyFont="false" applyBorder="true" applyAlignment="true" applyProtection="true">
      <alignment horizontal="general" vertical="bottom" textRotation="0" wrapText="false" indent="0" shrinkToFit="false"/>
      <protection locked="true" hidden="false"/>
    </xf>
    <xf numFmtId="164" fontId="0" fillId="0" borderId="8" xfId="21" applyFont="false" applyBorder="true" applyAlignment="true" applyProtection="true">
      <alignment horizontal="general" vertical="bottom" textRotation="0" wrapText="false" indent="0" shrinkToFit="false"/>
      <protection locked="true" hidden="false"/>
    </xf>
    <xf numFmtId="165" fontId="0" fillId="0" borderId="9" xfId="21" applyFont="false" applyBorder="true" applyAlignment="false" applyProtection="false">
      <alignment horizontal="general" vertical="bottom" textRotation="0" wrapText="false" indent="0" shrinkToFit="false"/>
      <protection locked="true" hidden="false"/>
    </xf>
    <xf numFmtId="165" fontId="0" fillId="0" borderId="10" xfId="21" applyFont="false" applyBorder="true" applyAlignment="false" applyProtection="false">
      <alignment horizontal="general" vertical="bottom" textRotation="0" wrapText="false" indent="0" shrinkToFit="false"/>
      <protection locked="true" hidden="false"/>
    </xf>
    <xf numFmtId="165" fontId="0" fillId="0" borderId="11" xfId="21" applyFont="false" applyBorder="true" applyAlignment="true" applyProtection="true">
      <alignment horizontal="general" vertical="bottom" textRotation="0" wrapText="false" indent="0" shrinkToFit="false"/>
      <protection locked="true" hidden="false"/>
    </xf>
    <xf numFmtId="165" fontId="0" fillId="0" borderId="12" xfId="21" applyFont="false" applyBorder="true" applyAlignment="true" applyProtection="true">
      <alignment horizontal="general" vertical="bottom" textRotation="0" wrapText="false" indent="0" shrinkToFit="false"/>
      <protection locked="true" hidden="false"/>
    </xf>
    <xf numFmtId="165" fontId="0" fillId="0" borderId="13" xfId="21" applyFont="false" applyBorder="true" applyAlignment="true" applyProtection="true">
      <alignment horizontal="general" vertical="bottom" textRotation="0" wrapText="false" indent="0" shrinkToFit="false"/>
      <protection locked="true" hidden="false"/>
    </xf>
    <xf numFmtId="164" fontId="0" fillId="0" borderId="12" xfId="21" applyFont="false" applyBorder="true" applyAlignment="true" applyProtection="true">
      <alignment horizontal="general" vertical="bottom" textRotation="0" wrapText="false" indent="0" shrinkToFit="false"/>
      <protection locked="true" hidden="false"/>
    </xf>
    <xf numFmtId="165" fontId="0" fillId="0" borderId="14" xfId="21" applyFont="false" applyBorder="true" applyAlignment="true" applyProtection="true">
      <alignment horizontal="general" vertical="bottom" textRotation="0" wrapText="false" indent="0" shrinkToFit="false"/>
      <protection locked="true" hidden="false"/>
    </xf>
    <xf numFmtId="164" fontId="0" fillId="0" borderId="9" xfId="21" applyFont="false" applyBorder="true" applyAlignment="true" applyProtection="true">
      <alignment horizontal="general" vertical="bottom" textRotation="0" wrapText="false" indent="0" shrinkToFit="false"/>
      <protection locked="true" hidden="false"/>
    </xf>
    <xf numFmtId="164" fontId="0" fillId="0" borderId="0" xfId="21" applyFont="false" applyBorder="true" applyAlignment="true" applyProtection="true">
      <alignment horizontal="general" vertical="bottom" textRotation="0" wrapText="false" indent="0" shrinkToFit="false"/>
      <protection locked="true" hidden="false"/>
    </xf>
    <xf numFmtId="164" fontId="0" fillId="0" borderId="10" xfId="21" applyFont="false" applyBorder="true" applyAlignment="true" applyProtection="true">
      <alignment horizontal="general" vertical="bottom" textRotation="0" wrapText="false" indent="0" shrinkToFit="false"/>
      <protection locked="true" hidden="false"/>
    </xf>
    <xf numFmtId="165" fontId="0" fillId="0" borderId="15" xfId="21" applyFont="false" applyBorder="true" applyAlignment="true" applyProtection="true">
      <alignment horizontal="general" vertical="bottom" textRotation="0" wrapText="false" indent="0" shrinkToFit="false"/>
      <protection locked="true" hidden="false"/>
    </xf>
    <xf numFmtId="165" fontId="4" fillId="0" borderId="15" xfId="21" applyFont="true" applyBorder="true" applyAlignment="true" applyProtection="true">
      <alignment horizontal="general" vertical="bottom" textRotation="0" wrapText="false" indent="0" shrinkToFit="false"/>
      <protection locked="true" hidden="false"/>
    </xf>
    <xf numFmtId="165" fontId="0" fillId="0" borderId="16" xfId="21" applyFont="false" applyBorder="true" applyAlignment="true" applyProtection="true">
      <alignment horizontal="general" vertical="bottom" textRotation="0" wrapText="false" indent="0" shrinkToFit="false"/>
      <protection locked="true" hidden="false"/>
    </xf>
    <xf numFmtId="165" fontId="4" fillId="0" borderId="16" xfId="21" applyFont="true" applyBorder="true" applyAlignment="true" applyProtection="true">
      <alignment horizontal="general" vertical="bottom" textRotation="0" wrapText="false" indent="0" shrinkToFit="false"/>
      <protection locked="true" hidden="false"/>
    </xf>
    <xf numFmtId="165" fontId="0" fillId="0" borderId="15" xfId="21" applyFont="true" applyBorder="true" applyAlignment="true" applyProtection="true">
      <alignment horizontal="general" vertical="bottom" textRotation="0" wrapText="false" indent="0" shrinkToFit="false"/>
      <protection locked="true" hidden="false"/>
    </xf>
    <xf numFmtId="164" fontId="0" fillId="0" borderId="4" xfId="21" applyFont="false" applyBorder="true" applyAlignment="true" applyProtection="true">
      <alignment horizontal="general" vertical="bottom" textRotation="0" wrapText="false" indent="0" shrinkToFit="false"/>
      <protection locked="true" hidden="false"/>
    </xf>
    <xf numFmtId="164" fontId="4" fillId="0" borderId="4" xfId="21" applyFont="true" applyBorder="true" applyAlignment="true" applyProtection="true">
      <alignment horizontal="general" vertical="bottom" textRotation="0" wrapText="false" indent="0" shrinkToFit="false"/>
      <protection locked="true" hidden="false"/>
    </xf>
    <xf numFmtId="164" fontId="0" fillId="0" borderId="16" xfId="21" applyFont="false" applyBorder="true" applyAlignment="true" applyProtection="true">
      <alignment horizontal="general" vertical="bottom" textRotation="0" wrapText="false" indent="0" shrinkToFit="false"/>
      <protection locked="true" hidden="false"/>
    </xf>
    <xf numFmtId="164" fontId="4" fillId="0" borderId="16" xfId="21" applyFont="true" applyBorder="true" applyAlignment="true" applyProtection="true">
      <alignment horizontal="general" vertical="bottom" textRotation="0" wrapText="false" indent="0" shrinkToFit="false"/>
      <protection locked="true" hidden="false"/>
    </xf>
    <xf numFmtId="165" fontId="6" fillId="0" borderId="4" xfId="21" applyFont="true" applyBorder="true" applyAlignment="true" applyProtection="true">
      <alignment horizontal="general" vertical="bottom" textRotation="0" wrapText="false" indent="0" shrinkToFit="false"/>
      <protection locked="true" hidden="false"/>
    </xf>
    <xf numFmtId="165" fontId="6" fillId="0" borderId="5" xfId="21"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Pivot Table Category" xfId="20"/>
    <cellStyle name="Pivot Table Value" xfId="21"/>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00A933"/>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U84"/>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1" ySplit="3" topLeftCell="AI4" activePane="bottomRight" state="frozen"/>
      <selection pane="topLeft" activeCell="A1" activeCellId="0" sqref="A1"/>
      <selection pane="topRight" activeCell="AI1" activeCellId="0" sqref="AI1"/>
      <selection pane="bottomLeft" activeCell="A4" activeCellId="0" sqref="A4"/>
      <selection pane="bottomRight" activeCell="BA61" activeCellId="0" sqref="BA61"/>
    </sheetView>
  </sheetViews>
  <sheetFormatPr defaultColWidth="11.53515625" defaultRowHeight="12.8" zeroHeight="false" outlineLevelRow="0" outlineLevelCol="0"/>
  <cols>
    <col collapsed="false" customWidth="true" hidden="false" outlineLevel="0" max="1" min="1" style="1" width="36.01"/>
    <col collapsed="false" customWidth="true" hidden="false" outlineLevel="0" max="2" min="2" style="1" width="13.39"/>
    <col collapsed="false" customWidth="true" hidden="false" outlineLevel="0" max="3" min="3" style="1" width="13.91"/>
    <col collapsed="false" customWidth="true" hidden="false" outlineLevel="0" max="4" min="4" style="1" width="13.22"/>
    <col collapsed="false" customWidth="true" hidden="false" outlineLevel="0" max="5" min="5" style="1" width="13.56"/>
    <col collapsed="false" customWidth="true" hidden="false" outlineLevel="0" max="6" min="6" style="1" width="25.56"/>
    <col collapsed="false" customWidth="true" hidden="false" outlineLevel="0" max="7" min="7" style="1" width="13.73"/>
    <col collapsed="false" customWidth="true" hidden="false" outlineLevel="0" max="8" min="8" style="1" width="28.34"/>
    <col collapsed="false" customWidth="true" hidden="false" outlineLevel="0" max="9" min="9" style="1" width="27.65"/>
    <col collapsed="false" customWidth="true" hidden="false" outlineLevel="0" max="10" min="10" style="1" width="13.91"/>
    <col collapsed="false" customWidth="true" hidden="false" outlineLevel="0" max="11" min="11" style="1" width="13.03"/>
    <col collapsed="false" customWidth="true" hidden="false" outlineLevel="0" max="12" min="12" style="1" width="12.88"/>
    <col collapsed="false" customWidth="true" hidden="false" outlineLevel="0" max="13" min="13" style="1" width="13.39"/>
    <col collapsed="false" customWidth="true" hidden="false" outlineLevel="0" max="15" min="14" style="1" width="12.88"/>
    <col collapsed="false" customWidth="true" hidden="false" outlineLevel="0" max="17" min="16" style="1" width="13.22"/>
    <col collapsed="false" customWidth="true" hidden="false" outlineLevel="0" max="20" min="18" style="1" width="12.88"/>
    <col collapsed="false" customWidth="true" hidden="false" outlineLevel="0" max="42" min="21" style="1" width="12.69"/>
    <col collapsed="false" customWidth="true" hidden="false" outlineLevel="0" max="43" min="43" style="1" width="14.43"/>
    <col collapsed="false" customWidth="true" hidden="false" outlineLevel="0" max="44" min="44" style="1" width="14.6"/>
    <col collapsed="false" customWidth="true" hidden="false" outlineLevel="0" max="45" min="45" style="1" width="13.56"/>
    <col collapsed="false" customWidth="true" hidden="false" outlineLevel="0" max="46" min="46" style="1" width="13.03"/>
    <col collapsed="false" customWidth="false" hidden="false" outlineLevel="0" max="47" min="47" style="1" width="11.53"/>
    <col collapsed="false" customWidth="true" hidden="false" outlineLevel="0" max="49" min="48" style="1" width="12.27"/>
    <col collapsed="false" customWidth="false" hidden="false" outlineLevel="0" max="51" min="50" style="1" width="11.53"/>
    <col collapsed="false" customWidth="true" hidden="false" outlineLevel="0" max="52" min="52" style="1" width="13.58"/>
    <col collapsed="false" customWidth="false" hidden="false" outlineLevel="0" max="54" min="53" style="1" width="11.53"/>
    <col collapsed="false" customWidth="true" hidden="false" outlineLevel="0" max="55" min="55" style="1" width="13.09"/>
    <col collapsed="false" customWidth="true" hidden="false" outlineLevel="0" max="56" min="56" style="1" width="13.25"/>
    <col collapsed="false" customWidth="true" hidden="false" outlineLevel="0" max="57" min="57" style="1" width="13.58"/>
    <col collapsed="false" customWidth="true" hidden="false" outlineLevel="0" max="58" min="58" style="1" width="12.61"/>
    <col collapsed="false" customWidth="false" hidden="false" outlineLevel="0" max="59" min="59" style="1" width="11.53"/>
    <col collapsed="false" customWidth="true" hidden="false" outlineLevel="0" max="60" min="60" style="1" width="13.72"/>
    <col collapsed="false" customWidth="false" hidden="false" outlineLevel="0" max="67" min="61" style="1" width="11.53"/>
    <col collapsed="false" customWidth="true" hidden="false" outlineLevel="0" max="69" min="68" style="1" width="12.93"/>
    <col collapsed="false" customWidth="true" hidden="false" outlineLevel="0" max="70" min="70" style="1" width="13.41"/>
    <col collapsed="false" customWidth="true" hidden="false" outlineLevel="0" max="71" min="71" style="1" width="12.76"/>
    <col collapsed="false" customWidth="false" hidden="false" outlineLevel="0" max="79" min="72" style="1" width="11.53"/>
    <col collapsed="false" customWidth="true" hidden="false" outlineLevel="0" max="80" min="80" style="1" width="13.09"/>
    <col collapsed="false" customWidth="true" hidden="false" outlineLevel="0" max="81" min="81" style="1" width="12.61"/>
    <col collapsed="false" customWidth="false" hidden="false" outlineLevel="0" max="84" min="82" style="1" width="11.53"/>
    <col collapsed="false" customWidth="true" hidden="false" outlineLevel="0" max="85" min="85" style="1" width="13.25"/>
    <col collapsed="false" customWidth="true" hidden="false" outlineLevel="0" max="86" min="86" style="1" width="12.43"/>
    <col collapsed="false" customWidth="false" hidden="false" outlineLevel="0" max="91" min="87" style="1" width="11.53"/>
    <col collapsed="false" customWidth="true" hidden="false" outlineLevel="0" max="92" min="92" style="1" width="13.41"/>
    <col collapsed="false" customWidth="true" hidden="false" outlineLevel="0" max="93" min="93" style="1" width="13.75"/>
    <col collapsed="false" customWidth="false" hidden="false" outlineLevel="0" max="94" min="94" style="1" width="11.53"/>
    <col collapsed="false" customWidth="true" hidden="false" outlineLevel="0" max="95" min="95" style="1" width="12.61"/>
    <col collapsed="false" customWidth="true" hidden="false" outlineLevel="0" max="96" min="96" style="1" width="12.93"/>
    <col collapsed="false" customWidth="false" hidden="false" outlineLevel="0" max="99" min="97" style="1" width="11.53"/>
    <col collapsed="false" customWidth="true" hidden="false" outlineLevel="0" max="100" min="100" style="1" width="13.41"/>
    <col collapsed="false" customWidth="true" hidden="false" outlineLevel="0" max="101" min="101" style="1" width="13.09"/>
    <col collapsed="false" customWidth="true" hidden="false" outlineLevel="0" max="102" min="102" style="1" width="12.93"/>
    <col collapsed="false" customWidth="true" hidden="false" outlineLevel="0" max="103" min="103" style="1" width="12.61"/>
    <col collapsed="false" customWidth="false" hidden="false" outlineLevel="0" max="109" min="104" style="1" width="11.53"/>
    <col collapsed="false" customWidth="true" hidden="false" outlineLevel="0" max="110" min="110" style="1" width="13.91"/>
    <col collapsed="false" customWidth="true" hidden="false" outlineLevel="0" max="111" min="111" style="1" width="13.73"/>
    <col collapsed="false" customWidth="true" hidden="false" outlineLevel="0" max="112" min="112" style="1" width="13.91"/>
    <col collapsed="false" customWidth="true" hidden="false" outlineLevel="0" max="113" min="113" style="1" width="13.56"/>
    <col collapsed="false" customWidth="true" hidden="false" outlineLevel="0" max="114" min="114" style="1" width="14.43"/>
    <col collapsed="false" customWidth="true" hidden="false" outlineLevel="0" max="115" min="115" style="1" width="13.73"/>
    <col collapsed="false" customWidth="true" hidden="false" outlineLevel="0" max="118" min="116" style="1" width="13.39"/>
    <col collapsed="false" customWidth="true" hidden="false" outlineLevel="0" max="119" min="119" style="1" width="13.91"/>
    <col collapsed="false" customWidth="false" hidden="false" outlineLevel="0" max="120" min="120" style="1" width="11.53"/>
    <col collapsed="false" customWidth="true" hidden="false" outlineLevel="0" max="121" min="121" style="1" width="13.73"/>
    <col collapsed="false" customWidth="true" hidden="false" outlineLevel="0" max="122" min="122" style="1" width="13.39"/>
    <col collapsed="false" customWidth="true" hidden="false" outlineLevel="0" max="123" min="123" style="1" width="14.43"/>
    <col collapsed="false" customWidth="true" hidden="false" outlineLevel="0" max="124" min="124" style="1" width="13.56"/>
    <col collapsed="false" customWidth="true" hidden="false" outlineLevel="0" max="125" min="125" style="1" width="13.03"/>
    <col collapsed="false" customWidth="false" hidden="false" outlineLevel="0" max="16384" min="126" style="1" width="11.53"/>
  </cols>
  <sheetData>
    <row r="1" customFormat="false" ht="15.9" hidden="false" customHeight="true" outlineLevel="0" collapsed="false">
      <c r="A1" s="1" t="s">
        <v>0</v>
      </c>
      <c r="S1" s="2"/>
      <c r="T1" s="2"/>
      <c r="U1" s="2"/>
      <c r="V1" s="3" t="s">
        <v>1</v>
      </c>
      <c r="W1" s="2"/>
      <c r="X1" s="2"/>
      <c r="Y1" s="2"/>
      <c r="Z1" s="2"/>
      <c r="AA1" s="2"/>
      <c r="AB1" s="2"/>
      <c r="AC1" s="2"/>
      <c r="AD1" s="2"/>
      <c r="AE1" s="2"/>
      <c r="AF1" s="2"/>
      <c r="AG1" s="2"/>
      <c r="AH1" s="2"/>
      <c r="AI1" s="2"/>
      <c r="AJ1" s="2"/>
      <c r="AK1" s="2"/>
      <c r="AL1" s="2"/>
      <c r="AM1" s="2"/>
      <c r="AN1" s="2"/>
      <c r="AO1" s="2"/>
      <c r="AQ1" s="4" t="s">
        <v>2</v>
      </c>
      <c r="AV1" s="1" t="s">
        <v>3</v>
      </c>
      <c r="AW1" s="4" t="s">
        <v>4</v>
      </c>
      <c r="BC1" s="4" t="s">
        <v>5</v>
      </c>
      <c r="BH1" s="1" t="s">
        <v>6</v>
      </c>
      <c r="BI1" s="4" t="s">
        <v>7</v>
      </c>
      <c r="BU1" s="4" t="s">
        <v>8</v>
      </c>
      <c r="BZ1" s="2"/>
      <c r="CA1" s="2"/>
      <c r="CB1" s="2"/>
      <c r="CG1" s="4" t="s">
        <v>9</v>
      </c>
      <c r="CN1" s="4" t="s">
        <v>10</v>
      </c>
      <c r="CQ1" s="4" t="s">
        <v>11</v>
      </c>
      <c r="CT1" s="4" t="s">
        <v>12</v>
      </c>
      <c r="DA1" s="4" t="s">
        <v>13</v>
      </c>
    </row>
    <row r="2" customFormat="false" ht="12.8" hidden="false" customHeight="false" outlineLevel="0" collapsed="false">
      <c r="B2" s="1" t="s">
        <v>14</v>
      </c>
      <c r="D2" s="1" t="s">
        <v>15</v>
      </c>
      <c r="I2" s="1" t="s">
        <v>16</v>
      </c>
      <c r="O2" s="1" t="s">
        <v>17</v>
      </c>
      <c r="S2" s="1" t="s">
        <v>18</v>
      </c>
      <c r="V2" s="1" t="s">
        <v>19</v>
      </c>
      <c r="W2" s="1" t="s">
        <v>20</v>
      </c>
      <c r="X2" s="1" t="s">
        <v>21</v>
      </c>
      <c r="Y2" s="1" t="s">
        <v>22</v>
      </c>
      <c r="Z2" s="1" t="s">
        <v>23</v>
      </c>
      <c r="AA2" s="1" t="s">
        <v>24</v>
      </c>
      <c r="AB2" s="1" t="s">
        <v>25</v>
      </c>
      <c r="AC2" s="1" t="s">
        <v>26</v>
      </c>
      <c r="AD2" s="1" t="s">
        <v>27</v>
      </c>
      <c r="AE2" s="1" t="s">
        <v>28</v>
      </c>
      <c r="AF2" s="1" t="s">
        <v>29</v>
      </c>
      <c r="AG2" s="1" t="s">
        <v>30</v>
      </c>
      <c r="AH2" s="1" t="s">
        <v>31</v>
      </c>
      <c r="AI2" s="1" t="s">
        <v>32</v>
      </c>
      <c r="AJ2" s="1" t="s">
        <v>33</v>
      </c>
      <c r="AK2" s="1" t="s">
        <v>34</v>
      </c>
      <c r="AL2" s="1" t="s">
        <v>35</v>
      </c>
      <c r="AM2" s="1" t="s">
        <v>36</v>
      </c>
      <c r="AQ2" s="1" t="s">
        <v>37</v>
      </c>
      <c r="AV2" s="1" t="s">
        <v>38</v>
      </c>
      <c r="AW2" s="1" t="s">
        <v>39</v>
      </c>
      <c r="AX2" s="1" t="s">
        <v>40</v>
      </c>
      <c r="AY2" s="1" t="s">
        <v>41</v>
      </c>
      <c r="AZ2" s="1" t="s">
        <v>42</v>
      </c>
      <c r="BA2" s="1" t="s">
        <v>43</v>
      </c>
      <c r="BC2" s="1" t="s">
        <v>44</v>
      </c>
      <c r="BD2" s="1" t="s">
        <v>45</v>
      </c>
      <c r="BE2" s="1" t="s">
        <v>46</v>
      </c>
      <c r="BF2" s="1" t="s">
        <v>47</v>
      </c>
      <c r="BH2" s="1" t="s">
        <v>48</v>
      </c>
      <c r="BI2" s="1" t="s">
        <v>49</v>
      </c>
      <c r="BJ2" s="1" t="s">
        <v>50</v>
      </c>
      <c r="BK2" s="1" t="s">
        <v>51</v>
      </c>
      <c r="BL2" s="1" t="s">
        <v>52</v>
      </c>
      <c r="BM2" s="1" t="s">
        <v>53</v>
      </c>
      <c r="BN2" s="1" t="s">
        <v>54</v>
      </c>
      <c r="BO2" s="1" t="s">
        <v>55</v>
      </c>
      <c r="BP2" s="1" t="s">
        <v>56</v>
      </c>
      <c r="BQ2" s="1" t="s">
        <v>57</v>
      </c>
      <c r="BR2" s="1" t="s">
        <v>58</v>
      </c>
      <c r="BS2" s="1" t="s">
        <v>59</v>
      </c>
      <c r="BU2" s="1" t="s">
        <v>49</v>
      </c>
      <c r="BV2" s="1" t="s">
        <v>50</v>
      </c>
      <c r="BW2" s="1" t="s">
        <v>51</v>
      </c>
      <c r="BX2" s="1" t="s">
        <v>52</v>
      </c>
      <c r="BY2" s="1" t="s">
        <v>53</v>
      </c>
      <c r="BZ2" s="1" t="s">
        <v>60</v>
      </c>
      <c r="CA2" s="1" t="s">
        <v>61</v>
      </c>
      <c r="CB2" s="1" t="s">
        <v>62</v>
      </c>
      <c r="CC2" s="1" t="s">
        <v>63</v>
      </c>
      <c r="CD2" s="1" t="s">
        <v>64</v>
      </c>
      <c r="CG2" s="1" t="s">
        <v>65</v>
      </c>
      <c r="CH2" s="1" t="s">
        <v>66</v>
      </c>
      <c r="CI2" s="1" t="s">
        <v>67</v>
      </c>
      <c r="CK2" s="1" t="s">
        <v>68</v>
      </c>
      <c r="CL2" s="1" t="s">
        <v>69</v>
      </c>
      <c r="CN2" s="1" t="s">
        <v>70</v>
      </c>
      <c r="CO2" s="1" t="s">
        <v>71</v>
      </c>
      <c r="CQ2" s="1" t="s">
        <v>72</v>
      </c>
      <c r="CR2" s="1" t="s">
        <v>73</v>
      </c>
      <c r="CT2" s="1" t="s">
        <v>74</v>
      </c>
      <c r="CU2" s="1" t="s">
        <v>75</v>
      </c>
      <c r="CV2" s="1" t="s">
        <v>76</v>
      </c>
      <c r="CW2" s="1" t="s">
        <v>77</v>
      </c>
      <c r="CX2" s="1" t="s">
        <v>78</v>
      </c>
      <c r="CY2" s="1" t="s">
        <v>79</v>
      </c>
      <c r="DA2" s="1" t="s">
        <v>74</v>
      </c>
      <c r="DB2" s="1" t="s">
        <v>77</v>
      </c>
    </row>
    <row r="3" customFormat="false" ht="12.8" hidden="false" customHeight="false" outlineLevel="0" collapsed="false">
      <c r="B3" s="1" t="s">
        <v>80</v>
      </c>
      <c r="C3" s="1" t="s">
        <v>81</v>
      </c>
      <c r="D3" s="1" t="s">
        <v>80</v>
      </c>
      <c r="E3" s="1" t="s">
        <v>81</v>
      </c>
      <c r="F3" s="1" t="s">
        <v>82</v>
      </c>
      <c r="G3" s="1" t="s">
        <v>83</v>
      </c>
      <c r="H3" s="1" t="s">
        <v>84</v>
      </c>
      <c r="I3" s="1" t="s">
        <v>80</v>
      </c>
      <c r="J3" s="1" t="s">
        <v>81</v>
      </c>
      <c r="K3" s="1" t="s">
        <v>85</v>
      </c>
      <c r="L3" s="1" t="s">
        <v>83</v>
      </c>
      <c r="M3" s="1" t="s">
        <v>84</v>
      </c>
      <c r="N3" s="1" t="s">
        <v>86</v>
      </c>
      <c r="O3" s="1" t="s">
        <v>80</v>
      </c>
      <c r="P3" s="1" t="s">
        <v>87</v>
      </c>
      <c r="Q3" s="1" t="s">
        <v>88</v>
      </c>
      <c r="R3" s="1" t="s">
        <v>89</v>
      </c>
      <c r="S3" s="5" t="s">
        <v>90</v>
      </c>
      <c r="T3" s="5" t="s">
        <v>91</v>
      </c>
      <c r="U3" s="5"/>
      <c r="V3" s="6" t="s">
        <v>92</v>
      </c>
      <c r="W3" s="6" t="s">
        <v>93</v>
      </c>
      <c r="X3" s="7" t="s">
        <v>94</v>
      </c>
      <c r="Y3" s="6" t="s">
        <v>95</v>
      </c>
      <c r="Z3" s="6" t="s">
        <v>96</v>
      </c>
      <c r="AA3" s="6" t="s">
        <v>97</v>
      </c>
      <c r="AB3" s="6" t="s">
        <v>98</v>
      </c>
      <c r="AC3" s="6" t="s">
        <v>99</v>
      </c>
      <c r="AD3" s="6" t="s">
        <v>100</v>
      </c>
      <c r="AE3" s="6" t="s">
        <v>101</v>
      </c>
      <c r="AF3" s="6" t="s">
        <v>102</v>
      </c>
      <c r="AG3" s="6" t="s">
        <v>103</v>
      </c>
      <c r="AH3" s="6" t="s">
        <v>104</v>
      </c>
      <c r="AI3" s="6" t="s">
        <v>104</v>
      </c>
      <c r="AJ3" s="6" t="s">
        <v>105</v>
      </c>
      <c r="AK3" s="6" t="s">
        <v>106</v>
      </c>
      <c r="AL3" s="6" t="s">
        <v>107</v>
      </c>
      <c r="AM3" s="6" t="s">
        <v>108</v>
      </c>
      <c r="AN3" s="6"/>
      <c r="AO3" s="6"/>
      <c r="AQ3" s="1" t="s">
        <v>109</v>
      </c>
      <c r="AR3" s="1" t="s">
        <v>110</v>
      </c>
      <c r="AS3" s="1" t="s">
        <v>111</v>
      </c>
      <c r="AT3" s="7" t="s">
        <v>112</v>
      </c>
      <c r="AV3" s="6" t="s">
        <v>113</v>
      </c>
      <c r="AW3" s="8" t="s">
        <v>114</v>
      </c>
      <c r="AX3" s="8" t="s">
        <v>115</v>
      </c>
      <c r="AY3" s="8" t="s">
        <v>116</v>
      </c>
      <c r="AZ3" s="8" t="s">
        <v>117</v>
      </c>
      <c r="BA3" s="8" t="s">
        <v>118</v>
      </c>
      <c r="BB3" s="8"/>
      <c r="BC3" s="8" t="s">
        <v>119</v>
      </c>
      <c r="BD3" s="6" t="s">
        <v>120</v>
      </c>
      <c r="BE3" s="6" t="s">
        <v>121</v>
      </c>
      <c r="BF3" s="6" t="s">
        <v>122</v>
      </c>
      <c r="BG3" s="8"/>
      <c r="BH3" s="8" t="s">
        <v>123</v>
      </c>
      <c r="BI3" s="8" t="s">
        <v>123</v>
      </c>
      <c r="BJ3" s="9" t="s">
        <v>124</v>
      </c>
      <c r="BK3" s="10" t="s">
        <v>125</v>
      </c>
      <c r="BL3" s="9" t="s">
        <v>126</v>
      </c>
      <c r="BM3" s="8" t="s">
        <v>127</v>
      </c>
      <c r="BN3" s="8" t="s">
        <v>128</v>
      </c>
      <c r="BO3" s="9" t="s">
        <v>129</v>
      </c>
      <c r="BP3" s="8" t="s">
        <v>130</v>
      </c>
      <c r="BQ3" s="8" t="s">
        <v>131</v>
      </c>
      <c r="BR3" s="6" t="s">
        <v>132</v>
      </c>
      <c r="BS3" s="6" t="s">
        <v>133</v>
      </c>
      <c r="BT3" s="2"/>
      <c r="BU3" s="8" t="s">
        <v>134</v>
      </c>
      <c r="BV3" s="9" t="s">
        <v>135</v>
      </c>
      <c r="BW3" s="10" t="s">
        <v>136</v>
      </c>
      <c r="BX3" s="9" t="s">
        <v>137</v>
      </c>
      <c r="BY3" s="8" t="s">
        <v>138</v>
      </c>
      <c r="BZ3" s="8" t="s">
        <v>139</v>
      </c>
      <c r="CA3" s="9" t="s">
        <v>140</v>
      </c>
      <c r="CB3" s="8" t="s">
        <v>141</v>
      </c>
      <c r="CC3" s="9" t="s">
        <v>142</v>
      </c>
      <c r="CD3" s="6" t="s">
        <v>143</v>
      </c>
      <c r="CE3" s="7"/>
      <c r="CF3" s="7"/>
      <c r="CG3" s="8" t="s">
        <v>144</v>
      </c>
      <c r="CH3" s="9" t="s">
        <v>145</v>
      </c>
      <c r="CI3" s="9"/>
      <c r="CJ3" s="9"/>
      <c r="CK3" s="8" t="s">
        <v>146</v>
      </c>
      <c r="CL3" s="9" t="s">
        <v>147</v>
      </c>
      <c r="CM3" s="7"/>
      <c r="CN3" s="8" t="s">
        <v>148</v>
      </c>
      <c r="CO3" s="9" t="s">
        <v>149</v>
      </c>
      <c r="CP3" s="7"/>
      <c r="CQ3" s="8" t="s">
        <v>150</v>
      </c>
      <c r="CR3" s="9" t="s">
        <v>151</v>
      </c>
      <c r="CS3" s="7"/>
      <c r="CT3" s="7" t="s">
        <v>152</v>
      </c>
      <c r="CU3" s="8" t="s">
        <v>153</v>
      </c>
      <c r="CV3" s="8" t="s">
        <v>154</v>
      </c>
      <c r="CW3" s="9" t="s">
        <v>155</v>
      </c>
      <c r="CX3" s="8" t="s">
        <v>156</v>
      </c>
      <c r="CY3" s="8" t="s">
        <v>157</v>
      </c>
      <c r="CZ3" s="8"/>
      <c r="DA3" s="7" t="s">
        <v>158</v>
      </c>
      <c r="DB3" s="9" t="s">
        <v>159</v>
      </c>
      <c r="DD3" s="7"/>
      <c r="DF3" s="11"/>
      <c r="DG3" s="12"/>
      <c r="DH3" s="12"/>
      <c r="DI3" s="12"/>
      <c r="DJ3" s="12"/>
      <c r="DK3" s="12"/>
      <c r="DL3" s="12"/>
      <c r="DM3" s="12"/>
      <c r="DN3" s="12"/>
      <c r="DO3" s="12"/>
      <c r="DQ3" s="11"/>
      <c r="DR3" s="12"/>
      <c r="DS3" s="12"/>
      <c r="DT3" s="12"/>
      <c r="DU3" s="12"/>
    </row>
    <row r="4" customFormat="false" ht="12.8" hidden="false" customHeight="false" outlineLevel="0" collapsed="false">
      <c r="A4" s="1" t="s">
        <v>160</v>
      </c>
      <c r="BP4" s="6" t="s">
        <v>161</v>
      </c>
      <c r="BQ4" s="6" t="s">
        <v>162</v>
      </c>
      <c r="BR4" s="6"/>
      <c r="BS4" s="6"/>
      <c r="CB4" s="6" t="s">
        <v>163</v>
      </c>
      <c r="CC4" s="6"/>
      <c r="CG4" s="6" t="s">
        <v>164</v>
      </c>
      <c r="CH4" s="6" t="s">
        <v>165</v>
      </c>
      <c r="CI4" s="6"/>
      <c r="CN4" s="6" t="s">
        <v>166</v>
      </c>
      <c r="CO4" s="6"/>
      <c r="CQ4" s="6" t="s">
        <v>167</v>
      </c>
      <c r="CV4" s="6" t="s">
        <v>168</v>
      </c>
      <c r="CW4" s="6"/>
      <c r="CX4" s="6" t="s">
        <v>169</v>
      </c>
      <c r="CY4" s="6"/>
    </row>
    <row r="5" customFormat="false" ht="12.8" hidden="false" customHeight="false" outlineLevel="0" collapsed="false">
      <c r="A5" s="1" t="s">
        <v>170</v>
      </c>
      <c r="S5" s="13" t="n">
        <v>8039156</v>
      </c>
      <c r="T5" s="14" t="n">
        <v>8881788</v>
      </c>
      <c r="U5" s="14"/>
      <c r="V5" s="14"/>
      <c r="W5" s="14"/>
      <c r="X5" s="14"/>
      <c r="Y5" s="14"/>
      <c r="Z5" s="14"/>
      <c r="AA5" s="14"/>
      <c r="AB5" s="14"/>
      <c r="AC5" s="14"/>
      <c r="AD5" s="14"/>
      <c r="AE5" s="14"/>
      <c r="AF5" s="14"/>
      <c r="AG5" s="14"/>
      <c r="AH5" s="14"/>
      <c r="AI5" s="14"/>
      <c r="AJ5" s="14"/>
      <c r="AK5" s="14"/>
      <c r="AL5" s="14"/>
      <c r="AM5" s="14"/>
      <c r="AN5" s="14"/>
      <c r="AO5" s="14"/>
      <c r="AP5" s="14"/>
      <c r="AQ5" s="13" t="n">
        <v>5637105</v>
      </c>
      <c r="AR5" s="14" t="n">
        <v>5700935</v>
      </c>
      <c r="AT5" s="13" t="n">
        <v>5229761</v>
      </c>
    </row>
    <row r="6" customFormat="false" ht="12.8" hidden="false" customHeight="false" outlineLevel="0" collapsed="false">
      <c r="A6" s="1" t="s">
        <v>171</v>
      </c>
      <c r="B6" s="1" t="n">
        <v>15549689</v>
      </c>
      <c r="C6" s="1" t="n">
        <v>12851889</v>
      </c>
      <c r="E6" s="1" t="n">
        <v>12748107</v>
      </c>
      <c r="F6" s="1" t="n">
        <v>12556299</v>
      </c>
      <c r="G6" s="1" t="n">
        <v>11669720</v>
      </c>
      <c r="H6" s="1" t="n">
        <v>11993791</v>
      </c>
      <c r="I6" s="1" t="n">
        <v>15550000</v>
      </c>
      <c r="J6" s="1" t="n">
        <v>12748000</v>
      </c>
      <c r="K6" s="1" t="n">
        <v>12067000</v>
      </c>
      <c r="L6" s="1" t="n">
        <v>11670000</v>
      </c>
      <c r="M6" s="1" t="n">
        <v>11934000</v>
      </c>
      <c r="N6" s="1" t="n">
        <v>10753000</v>
      </c>
      <c r="O6" s="1" t="n">
        <v>15550000</v>
      </c>
      <c r="P6" s="1" t="n">
        <v>12556000</v>
      </c>
      <c r="Q6" s="1" t="n">
        <v>10930000</v>
      </c>
      <c r="R6" s="1" t="n">
        <v>2707000</v>
      </c>
      <c r="S6" s="13" t="n">
        <v>17627767.42</v>
      </c>
      <c r="T6" s="13" t="n">
        <v>15497569.27</v>
      </c>
      <c r="U6" s="13"/>
      <c r="V6" s="15" t="n">
        <v>2866760.39</v>
      </c>
      <c r="W6" s="15" t="n">
        <v>11890465.11</v>
      </c>
      <c r="X6" s="13"/>
      <c r="Y6" s="13"/>
      <c r="Z6" s="13"/>
      <c r="AA6" s="13"/>
      <c r="AB6" s="13"/>
      <c r="AC6" s="15" t="n">
        <v>2846155.85</v>
      </c>
      <c r="AD6" s="15" t="n">
        <v>12218140.58</v>
      </c>
      <c r="AE6" s="13"/>
      <c r="AF6" s="13"/>
      <c r="AG6" s="13"/>
      <c r="AH6" s="13"/>
      <c r="AI6" s="13"/>
      <c r="AJ6" s="15" t="n">
        <v>2682183.55</v>
      </c>
      <c r="AK6" s="15" t="n">
        <v>13313796.13</v>
      </c>
      <c r="AL6" s="15" t="n">
        <v>2872386.97</v>
      </c>
      <c r="AM6" s="15" t="n">
        <v>11890620.77</v>
      </c>
      <c r="AN6" s="13"/>
      <c r="AO6" s="13"/>
      <c r="AP6" s="2"/>
      <c r="AQ6" s="13" t="n">
        <v>11921623.22</v>
      </c>
      <c r="AR6" s="13" t="n">
        <v>12170244.5</v>
      </c>
      <c r="AS6" s="13" t="n">
        <v>12101598.8</v>
      </c>
      <c r="AT6" s="13" t="n">
        <v>12101598.8</v>
      </c>
      <c r="AW6" s="16" t="n">
        <v>11921623.14</v>
      </c>
      <c r="AX6" s="2"/>
      <c r="AZ6" s="16" t="n">
        <v>12487988.36</v>
      </c>
      <c r="BC6" s="17" t="n">
        <v>11088997.43</v>
      </c>
      <c r="BD6" s="16" t="n">
        <v>11274535.58</v>
      </c>
      <c r="BE6" s="16" t="n">
        <v>12165560.14</v>
      </c>
      <c r="BF6" s="16" t="n">
        <v>12161185.05</v>
      </c>
      <c r="BH6" s="14" t="n">
        <v>12288308.39</v>
      </c>
      <c r="BP6" s="16" t="n">
        <v>11471435.47</v>
      </c>
      <c r="BQ6" s="16" t="n">
        <v>11188983.62</v>
      </c>
      <c r="BR6" s="16" t="n">
        <v>11323327.09</v>
      </c>
      <c r="BS6" s="16" t="n">
        <v>11179601.14</v>
      </c>
      <c r="CB6" s="16" t="n">
        <v>11533399.37</v>
      </c>
      <c r="CC6" s="16" t="n">
        <v>10979005.62</v>
      </c>
      <c r="CG6" s="16" t="n">
        <v>11482577.76</v>
      </c>
      <c r="CH6" s="16" t="n">
        <v>11068148.97</v>
      </c>
      <c r="CI6" s="16"/>
      <c r="CN6" s="16" t="n">
        <v>12448556.98</v>
      </c>
      <c r="CO6" s="16" t="n">
        <v>12448556.98</v>
      </c>
      <c r="CQ6" s="18" t="n">
        <v>13680708.55</v>
      </c>
      <c r="CR6" s="16" t="n">
        <v>13892996.28</v>
      </c>
      <c r="CV6" s="16" t="n">
        <v>13191830.71</v>
      </c>
      <c r="CW6" s="16" t="n">
        <v>11138105.55</v>
      </c>
      <c r="CX6" s="16" t="n">
        <v>14157957.93</v>
      </c>
      <c r="CY6" s="16" t="n">
        <v>11116893.6</v>
      </c>
      <c r="DF6" s="19"/>
      <c r="DG6" s="19"/>
      <c r="DH6" s="19"/>
      <c r="DI6" s="19"/>
      <c r="DJ6" s="19"/>
      <c r="DK6" s="19"/>
      <c r="DL6" s="19"/>
      <c r="DM6" s="19"/>
      <c r="DN6" s="19"/>
      <c r="DO6" s="19"/>
      <c r="DQ6" s="19"/>
      <c r="DR6" s="19"/>
      <c r="DS6" s="19"/>
      <c r="DT6" s="19"/>
      <c r="DU6" s="19"/>
    </row>
    <row r="7" customFormat="false" ht="12.8" hidden="false" customHeight="false" outlineLevel="0" collapsed="false">
      <c r="A7" s="1" t="s">
        <v>172</v>
      </c>
      <c r="S7" s="13"/>
      <c r="T7" s="13"/>
      <c r="U7" s="13"/>
      <c r="V7" s="13"/>
      <c r="W7" s="13"/>
      <c r="X7" s="13"/>
      <c r="Y7" s="13"/>
      <c r="Z7" s="13"/>
      <c r="AA7" s="13"/>
      <c r="AB7" s="13"/>
      <c r="AC7" s="13"/>
      <c r="AD7" s="13"/>
      <c r="AE7" s="13"/>
      <c r="AF7" s="13"/>
      <c r="AG7" s="13"/>
      <c r="AH7" s="13"/>
      <c r="AI7" s="13"/>
      <c r="AJ7" s="13"/>
      <c r="AK7" s="13"/>
      <c r="AL7" s="13"/>
      <c r="AM7" s="13"/>
      <c r="AN7" s="13"/>
      <c r="AO7" s="13"/>
      <c r="AP7" s="2"/>
      <c r="AQ7" s="13"/>
      <c r="AR7" s="13"/>
      <c r="AS7" s="13"/>
      <c r="AT7" s="13"/>
      <c r="AW7" s="16"/>
      <c r="AX7" s="2"/>
      <c r="AZ7" s="16"/>
      <c r="BC7" s="17"/>
      <c r="BD7" s="16"/>
      <c r="BE7" s="16"/>
      <c r="BF7" s="16"/>
      <c r="BH7" s="14"/>
      <c r="BP7" s="16"/>
      <c r="BQ7" s="16"/>
      <c r="BR7" s="16"/>
      <c r="BS7" s="16"/>
      <c r="CB7" s="16"/>
      <c r="CC7" s="16"/>
      <c r="CG7" s="16"/>
      <c r="CH7" s="16"/>
      <c r="CI7" s="16"/>
      <c r="CN7" s="16"/>
      <c r="CO7" s="16"/>
      <c r="CQ7" s="18"/>
      <c r="CR7" s="16"/>
      <c r="CV7" s="16"/>
      <c r="CW7" s="16"/>
      <c r="CX7" s="16"/>
      <c r="CY7" s="16"/>
      <c r="DF7" s="19"/>
      <c r="DG7" s="19"/>
      <c r="DH7" s="19"/>
      <c r="DI7" s="19"/>
      <c r="DJ7" s="19"/>
      <c r="DK7" s="19"/>
      <c r="DL7" s="19"/>
      <c r="DM7" s="19"/>
      <c r="DN7" s="19"/>
      <c r="DO7" s="19"/>
      <c r="DQ7" s="19"/>
      <c r="DR7" s="19"/>
      <c r="DS7" s="19"/>
      <c r="DT7" s="19"/>
      <c r="DU7" s="19"/>
    </row>
    <row r="9" customFormat="false" ht="12.8" hidden="false" customHeight="false" outlineLevel="0" collapsed="false">
      <c r="A9" s="1" t="s">
        <v>173</v>
      </c>
    </row>
    <row r="10" customFormat="false" ht="12.8" hidden="false" customHeight="false" outlineLevel="0" collapsed="false">
      <c r="A10" s="1" t="s">
        <v>174</v>
      </c>
      <c r="D10" s="1" t="n">
        <v>57</v>
      </c>
      <c r="E10" s="1" t="n">
        <v>147</v>
      </c>
      <c r="F10" s="1" t="n">
        <v>310</v>
      </c>
      <c r="G10" s="1" t="n">
        <v>121</v>
      </c>
      <c r="H10" s="1" t="n">
        <v>284</v>
      </c>
      <c r="I10" s="1" t="n">
        <v>72</v>
      </c>
      <c r="J10" s="1" t="n">
        <v>174</v>
      </c>
      <c r="K10" s="1" t="n">
        <v>469</v>
      </c>
      <c r="L10" s="1" t="n">
        <v>161</v>
      </c>
      <c r="M10" s="1" t="n">
        <v>365</v>
      </c>
      <c r="N10" s="1" t="n">
        <v>112</v>
      </c>
      <c r="O10" s="1" t="n">
        <v>72</v>
      </c>
      <c r="P10" s="1" t="n">
        <v>148</v>
      </c>
      <c r="Q10" s="1" t="n">
        <v>209</v>
      </c>
      <c r="R10" s="1" t="n">
        <v>90</v>
      </c>
      <c r="S10" s="17" t="n">
        <v>492.3</v>
      </c>
      <c r="T10" s="20" t="n">
        <v>75.62</v>
      </c>
      <c r="U10" s="20"/>
      <c r="V10" s="19" t="n">
        <v>120.16</v>
      </c>
      <c r="W10" s="19" t="n">
        <v>172.82</v>
      </c>
      <c r="X10" s="19" t="n">
        <v>172.82</v>
      </c>
      <c r="Y10" s="19" t="n">
        <v>177.84</v>
      </c>
      <c r="Z10" s="19" t="n">
        <v>177.84</v>
      </c>
      <c r="AA10" s="19" t="n">
        <v>138.04</v>
      </c>
      <c r="AB10" s="19" t="n">
        <v>138.04</v>
      </c>
      <c r="AC10" s="19" t="n">
        <v>126.38</v>
      </c>
      <c r="AD10" s="19" t="n">
        <v>166.14</v>
      </c>
      <c r="AE10" s="19" t="n">
        <v>166.14</v>
      </c>
      <c r="AF10" s="19" t="n">
        <v>150.46</v>
      </c>
      <c r="AG10" s="19" t="n">
        <v>150.46</v>
      </c>
      <c r="AH10" s="19" t="n">
        <v>129.5</v>
      </c>
      <c r="AI10" s="19" t="n">
        <v>129.5</v>
      </c>
      <c r="AJ10" s="19" t="n">
        <v>118.9</v>
      </c>
      <c r="AK10" s="19" t="n">
        <v>162.58</v>
      </c>
      <c r="AL10" s="19" t="n">
        <v>120.66</v>
      </c>
      <c r="AM10" s="19" t="n">
        <v>197.26</v>
      </c>
      <c r="AN10" s="19"/>
      <c r="AO10" s="19"/>
      <c r="AP10" s="20"/>
      <c r="AQ10" s="17" t="n">
        <v>341.28</v>
      </c>
      <c r="AR10" s="17" t="n">
        <v>277.88</v>
      </c>
      <c r="AS10" s="20" t="n">
        <v>316.72</v>
      </c>
      <c r="AT10" s="20" t="n">
        <v>316.72</v>
      </c>
      <c r="AV10" s="17" t="n">
        <v>340.9</v>
      </c>
      <c r="AW10" s="17" t="n">
        <v>340.9</v>
      </c>
      <c r="AX10" s="13" t="n">
        <v>340.9</v>
      </c>
      <c r="AY10" s="17" t="n">
        <v>236.04</v>
      </c>
      <c r="AZ10" s="17" t="n">
        <v>478.26</v>
      </c>
      <c r="BA10" s="17" t="n">
        <v>478.26</v>
      </c>
      <c r="BB10" s="17"/>
      <c r="BC10" s="13" t="n">
        <v>329.36</v>
      </c>
      <c r="BD10" s="13" t="n">
        <v>262.84</v>
      </c>
      <c r="BE10" s="13" t="n">
        <v>195.3</v>
      </c>
      <c r="BF10" s="13" t="n">
        <v>178.04</v>
      </c>
      <c r="BG10" s="17"/>
      <c r="BH10" s="17" t="n">
        <v>136.18</v>
      </c>
      <c r="BI10" s="17" t="n">
        <v>118.32</v>
      </c>
      <c r="BJ10" s="13" t="n">
        <v>118.32</v>
      </c>
      <c r="BK10" s="17" t="n">
        <v>118.44</v>
      </c>
      <c r="BL10" s="13" t="n">
        <v>118.32</v>
      </c>
      <c r="BM10" s="20" t="n">
        <v>118.32</v>
      </c>
      <c r="BN10" s="17" t="n">
        <v>119.44</v>
      </c>
      <c r="BO10" s="13" t="n">
        <v>119.22</v>
      </c>
      <c r="BP10" s="17" t="n">
        <v>118.82</v>
      </c>
      <c r="BQ10" s="13" t="n">
        <v>118.82</v>
      </c>
      <c r="BR10" s="13" t="n">
        <v>118.94</v>
      </c>
      <c r="BS10" s="13" t="n">
        <v>118.82</v>
      </c>
      <c r="BT10" s="2"/>
      <c r="BU10" s="20" t="n">
        <v>333.56</v>
      </c>
      <c r="BV10" s="13" t="n">
        <v>323.02</v>
      </c>
      <c r="BW10" s="20" t="n">
        <v>343.02</v>
      </c>
      <c r="BX10" s="13" t="n">
        <v>323.02</v>
      </c>
      <c r="BY10" s="17" t="n">
        <v>323.02</v>
      </c>
      <c r="BZ10" s="20" t="n">
        <v>327.34</v>
      </c>
      <c r="CA10" s="13" t="n">
        <v>320.82</v>
      </c>
      <c r="CB10" s="20" t="n">
        <v>332.68</v>
      </c>
      <c r="CC10" s="13" t="n">
        <v>322.14</v>
      </c>
      <c r="CD10" s="13" t="n">
        <v>322.14</v>
      </c>
      <c r="CE10" s="20"/>
      <c r="CF10" s="20"/>
      <c r="CG10" s="17" t="n">
        <v>118.82</v>
      </c>
      <c r="CH10" s="13" t="n">
        <v>125.26</v>
      </c>
      <c r="CI10" s="13"/>
      <c r="CJ10" s="17"/>
      <c r="CK10" s="20" t="n">
        <v>331.08</v>
      </c>
      <c r="CL10" s="13" t="n">
        <v>321.6</v>
      </c>
      <c r="CM10" s="20"/>
      <c r="CN10" s="20" t="n">
        <v>117.74</v>
      </c>
      <c r="CO10" s="13" t="n">
        <v>117.74</v>
      </c>
      <c r="CP10" s="17"/>
      <c r="CQ10" s="17" t="n">
        <v>111.82</v>
      </c>
      <c r="CR10" s="13" t="n">
        <v>113.46</v>
      </c>
      <c r="CS10" s="17"/>
      <c r="CT10" s="13" t="n">
        <v>360.14</v>
      </c>
      <c r="CU10" s="17" t="n">
        <v>363.44</v>
      </c>
      <c r="CV10" s="20" t="n">
        <v>356.3</v>
      </c>
      <c r="CW10" s="13" t="n">
        <v>329.34</v>
      </c>
      <c r="CX10" s="20" t="n">
        <v>406.76</v>
      </c>
      <c r="CY10" s="17" t="n">
        <v>329.34</v>
      </c>
      <c r="CZ10" s="20"/>
      <c r="DA10" s="13" t="n">
        <v>235.86</v>
      </c>
      <c r="DB10" s="13" t="n">
        <v>513.58</v>
      </c>
      <c r="DD10" s="20"/>
      <c r="DF10" s="19"/>
      <c r="DG10" s="19"/>
      <c r="DH10" s="19"/>
      <c r="DI10" s="19"/>
      <c r="DJ10" s="19"/>
      <c r="DK10" s="19"/>
      <c r="DL10" s="19"/>
      <c r="DM10" s="19"/>
      <c r="DN10" s="19"/>
      <c r="DO10" s="19"/>
      <c r="DQ10" s="19"/>
      <c r="DR10" s="19"/>
      <c r="DS10" s="19"/>
      <c r="DT10" s="19"/>
      <c r="DU10" s="19"/>
    </row>
    <row r="11" customFormat="false" ht="12.8" hidden="false" customHeight="false" outlineLevel="0" collapsed="false">
      <c r="A11" s="1" t="s">
        <v>175</v>
      </c>
      <c r="D11" s="1" t="n">
        <v>6416</v>
      </c>
      <c r="E11" s="1" t="n">
        <v>5915</v>
      </c>
      <c r="F11" s="1" t="n">
        <v>4527</v>
      </c>
      <c r="G11" s="1" t="n">
        <v>4344</v>
      </c>
      <c r="H11" s="1" t="n">
        <v>9955</v>
      </c>
      <c r="I11" s="1" t="n">
        <v>8431</v>
      </c>
      <c r="J11" s="1" t="n">
        <v>7310</v>
      </c>
      <c r="K11" s="1" t="n">
        <v>5474</v>
      </c>
      <c r="L11" s="1" t="n">
        <v>5798</v>
      </c>
      <c r="M11" s="1" t="n">
        <v>10681</v>
      </c>
      <c r="N11" s="1" t="n">
        <v>5226</v>
      </c>
      <c r="S11" s="19"/>
      <c r="T11" s="19"/>
      <c r="U11" s="19"/>
      <c r="V11" s="19"/>
      <c r="W11" s="19"/>
      <c r="X11" s="19"/>
      <c r="Y11" s="19"/>
      <c r="Z11" s="19"/>
      <c r="AA11" s="19"/>
      <c r="AB11" s="19"/>
      <c r="AC11" s="19"/>
      <c r="AD11" s="19"/>
      <c r="AE11" s="19"/>
      <c r="AF11" s="19"/>
      <c r="AG11" s="19"/>
      <c r="AH11" s="19"/>
      <c r="AI11" s="19"/>
      <c r="AJ11" s="19"/>
      <c r="AK11" s="19"/>
      <c r="AL11" s="19"/>
      <c r="AM11" s="19"/>
      <c r="AN11" s="19"/>
      <c r="AO11" s="19"/>
      <c r="AP11" s="19"/>
      <c r="AQ11" s="17"/>
      <c r="AR11" s="17"/>
      <c r="AS11" s="20"/>
      <c r="AT11" s="20"/>
      <c r="AV11" s="2"/>
      <c r="AW11" s="2"/>
      <c r="AX11" s="2"/>
      <c r="AY11" s="2"/>
      <c r="AZ11" s="2"/>
      <c r="BH11" s="2"/>
      <c r="BI11" s="2"/>
      <c r="BJ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B11" s="2"/>
      <c r="DD11" s="2"/>
      <c r="DF11" s="2"/>
      <c r="DG11" s="2"/>
      <c r="DH11" s="2"/>
      <c r="DI11" s="2"/>
      <c r="DJ11" s="2"/>
      <c r="DK11" s="2"/>
      <c r="DL11" s="2"/>
      <c r="DM11" s="2"/>
      <c r="DN11" s="2"/>
      <c r="DO11" s="2"/>
      <c r="DT11" s="2"/>
      <c r="DU11" s="2"/>
    </row>
    <row r="12" customFormat="false" ht="12.8" hidden="false" customHeight="false" outlineLevel="0" collapsed="false">
      <c r="A12" s="1" t="s">
        <v>176</v>
      </c>
      <c r="D12" s="1" t="n">
        <v>322099</v>
      </c>
      <c r="E12" s="1" t="n">
        <v>137719</v>
      </c>
      <c r="F12" s="1" t="n">
        <v>99773</v>
      </c>
      <c r="G12" s="1" t="n">
        <v>87012</v>
      </c>
      <c r="H12" s="1" t="n">
        <v>168176</v>
      </c>
      <c r="I12" s="1" t="n">
        <v>352000</v>
      </c>
      <c r="J12" s="1" t="n">
        <v>150000</v>
      </c>
      <c r="K12" s="1" t="n">
        <v>115000</v>
      </c>
      <c r="L12" s="1" t="n">
        <v>94000</v>
      </c>
      <c r="M12" s="1" t="n">
        <v>122000</v>
      </c>
      <c r="N12" s="1" t="n">
        <v>105000</v>
      </c>
      <c r="O12" s="1" t="n">
        <v>351000</v>
      </c>
      <c r="P12" s="1" t="n">
        <v>123000</v>
      </c>
      <c r="Q12" s="1" t="n">
        <v>85000</v>
      </c>
      <c r="R12" s="1" t="n">
        <v>15000</v>
      </c>
      <c r="S12" s="21" t="n">
        <v>350845.94</v>
      </c>
      <c r="T12" s="18" t="n">
        <v>351339.22</v>
      </c>
      <c r="U12" s="18"/>
      <c r="V12" s="19" t="n">
        <v>12703.84</v>
      </c>
      <c r="W12" s="19" t="n">
        <v>113865.02</v>
      </c>
      <c r="X12" s="19" t="n">
        <v>113865.02</v>
      </c>
      <c r="Y12" s="19" t="n">
        <v>114284.74</v>
      </c>
      <c r="Z12" s="19" t="n">
        <v>114284.74</v>
      </c>
      <c r="AA12" s="19" t="n">
        <v>482021.5</v>
      </c>
      <c r="AB12" s="19" t="n">
        <v>482021.5</v>
      </c>
      <c r="AC12" s="19" t="n">
        <v>13292</v>
      </c>
      <c r="AD12" s="19" t="n">
        <v>93558.84</v>
      </c>
      <c r="AE12" s="19" t="n">
        <v>93558.84</v>
      </c>
      <c r="AF12" s="19" t="n">
        <v>106632.58</v>
      </c>
      <c r="AG12" s="19" t="n">
        <v>106632.58</v>
      </c>
      <c r="AH12" s="19" t="n">
        <v>264039.92</v>
      </c>
      <c r="AI12" s="19" t="n">
        <v>264039.92</v>
      </c>
      <c r="AJ12" s="19" t="n">
        <v>15190.06</v>
      </c>
      <c r="AK12" s="19" t="n">
        <v>112896.06</v>
      </c>
      <c r="AL12" s="19" t="n">
        <v>12862.58</v>
      </c>
      <c r="AM12" s="19" t="n">
        <v>113889.3</v>
      </c>
      <c r="AN12" s="19"/>
      <c r="AO12" s="19"/>
      <c r="AP12" s="21"/>
      <c r="AQ12" s="18" t="n">
        <v>112691.32</v>
      </c>
      <c r="AR12" s="18" t="n">
        <v>113940</v>
      </c>
      <c r="AS12" s="21" t="n">
        <v>114973.72</v>
      </c>
      <c r="AT12" s="21" t="n">
        <v>114973.72</v>
      </c>
      <c r="AV12" s="20" t="n">
        <v>112691.28</v>
      </c>
      <c r="AW12" s="20" t="n">
        <v>112691.28</v>
      </c>
      <c r="AX12" s="13" t="n">
        <v>112691.28</v>
      </c>
      <c r="AY12" s="20" t="n">
        <v>113655.28</v>
      </c>
      <c r="AZ12" s="17" t="n">
        <v>114923.92</v>
      </c>
      <c r="BA12" s="17" t="n">
        <v>114923.92</v>
      </c>
      <c r="BB12" s="17"/>
      <c r="BC12" s="13" t="n">
        <v>98790.08</v>
      </c>
      <c r="BD12" s="13" t="n">
        <v>91329.52</v>
      </c>
      <c r="BE12" s="13" t="n">
        <v>113740.46</v>
      </c>
      <c r="BF12" s="13" t="n">
        <v>113780.38</v>
      </c>
      <c r="BG12" s="17"/>
      <c r="BH12" s="18" t="n">
        <v>93180.82</v>
      </c>
      <c r="BI12" s="20" t="n">
        <v>91532.8</v>
      </c>
      <c r="BJ12" s="13" t="n">
        <v>91520.46</v>
      </c>
      <c r="BK12" s="20" t="n">
        <v>91532.8</v>
      </c>
      <c r="BL12" s="13" t="n">
        <v>91520.46</v>
      </c>
      <c r="BM12" s="17" t="n">
        <v>91520.46</v>
      </c>
      <c r="BN12" s="20" t="n">
        <v>91318.94</v>
      </c>
      <c r="BO12" s="13" t="n">
        <v>91234.68</v>
      </c>
      <c r="BP12" s="20" t="n">
        <v>91424.58</v>
      </c>
      <c r="BQ12" s="13" t="n">
        <v>91333.12</v>
      </c>
      <c r="BR12" s="13" t="n">
        <v>91424.58</v>
      </c>
      <c r="BS12" s="13" t="n">
        <v>91333.12</v>
      </c>
      <c r="BT12" s="20"/>
      <c r="BU12" s="17" t="n">
        <v>109432.94</v>
      </c>
      <c r="BV12" s="13" t="n">
        <v>98655.16</v>
      </c>
      <c r="BW12" s="17" t="n">
        <v>195689.42</v>
      </c>
      <c r="BX12" s="13" t="n">
        <v>98655.16</v>
      </c>
      <c r="BY12" s="20" t="n">
        <v>98655.16</v>
      </c>
      <c r="BZ12" s="17" t="n">
        <v>119519.14</v>
      </c>
      <c r="CA12" s="13" t="n">
        <v>97224.08</v>
      </c>
      <c r="CB12" s="17" t="n">
        <v>102854.82</v>
      </c>
      <c r="CC12" s="13" t="n">
        <v>97792.56</v>
      </c>
      <c r="CD12" s="13" t="n">
        <v>97792.56</v>
      </c>
      <c r="CE12" s="21"/>
      <c r="CF12" s="21"/>
      <c r="CG12" s="20" t="n">
        <v>91438.5</v>
      </c>
      <c r="CH12" s="13" t="n">
        <v>91330.74</v>
      </c>
      <c r="CI12" s="13"/>
      <c r="CJ12" s="20"/>
      <c r="CK12" s="17" t="n">
        <v>102854.82</v>
      </c>
      <c r="CL12" s="13" t="n">
        <v>97803.24</v>
      </c>
      <c r="CM12" s="21"/>
      <c r="CN12" s="17" t="n">
        <v>94696.64</v>
      </c>
      <c r="CO12" s="13" t="n">
        <v>94696.64</v>
      </c>
      <c r="CP12" s="18"/>
      <c r="CQ12" s="20" t="n">
        <v>105231.42</v>
      </c>
      <c r="CR12" s="13" t="n">
        <v>103049.9</v>
      </c>
      <c r="CS12" s="18"/>
      <c r="CT12" s="13" t="n">
        <v>145614.94</v>
      </c>
      <c r="CU12" s="20" t="n">
        <v>122035.4</v>
      </c>
      <c r="CV12" s="17" t="n">
        <v>122021.7</v>
      </c>
      <c r="CW12" s="13" t="n">
        <v>98790.08</v>
      </c>
      <c r="CX12" s="17" t="n">
        <v>126271.66</v>
      </c>
      <c r="CY12" s="20" t="n">
        <v>98790.08</v>
      </c>
      <c r="CZ12" s="21"/>
      <c r="DA12" s="13" t="n">
        <v>207258.42</v>
      </c>
      <c r="DB12" s="13" t="n">
        <v>114609.9</v>
      </c>
      <c r="DD12" s="21"/>
      <c r="DF12" s="19"/>
      <c r="DG12" s="19"/>
      <c r="DH12" s="19"/>
      <c r="DI12" s="19"/>
      <c r="DJ12" s="19"/>
      <c r="DK12" s="19"/>
      <c r="DL12" s="19"/>
      <c r="DM12" s="19"/>
      <c r="DN12" s="19"/>
      <c r="DO12" s="19"/>
      <c r="DQ12" s="19"/>
      <c r="DR12" s="19"/>
      <c r="DS12" s="19"/>
      <c r="DT12" s="19"/>
      <c r="DU12" s="19"/>
    </row>
    <row r="13" customFormat="false" ht="12.8" hidden="false" customHeight="false" outlineLevel="0" collapsed="false">
      <c r="S13" s="21"/>
      <c r="T13" s="18"/>
      <c r="U13" s="18"/>
      <c r="V13" s="19"/>
      <c r="W13" s="19"/>
      <c r="X13" s="19"/>
      <c r="Y13" s="19"/>
      <c r="Z13" s="19"/>
      <c r="AA13" s="19"/>
      <c r="AB13" s="19"/>
      <c r="AC13" s="19"/>
      <c r="AD13" s="19"/>
      <c r="AE13" s="19"/>
      <c r="AF13" s="19"/>
      <c r="AG13" s="19"/>
      <c r="AH13" s="19"/>
      <c r="AI13" s="19"/>
      <c r="AJ13" s="19"/>
      <c r="AK13" s="19"/>
      <c r="AL13" s="19"/>
      <c r="AM13" s="19"/>
      <c r="AN13" s="19"/>
      <c r="AO13" s="19"/>
      <c r="AP13" s="21"/>
      <c r="AQ13" s="18"/>
      <c r="AR13" s="18"/>
      <c r="AS13" s="21"/>
      <c r="AT13" s="21"/>
      <c r="AV13" s="20"/>
      <c r="AW13" s="20"/>
      <c r="AX13" s="13"/>
      <c r="AY13" s="20"/>
      <c r="AZ13" s="17"/>
      <c r="BA13" s="17"/>
      <c r="BB13" s="17"/>
      <c r="BC13" s="13"/>
      <c r="BD13" s="13"/>
      <c r="BE13" s="13"/>
      <c r="BF13" s="13"/>
      <c r="BG13" s="17"/>
      <c r="BH13" s="18"/>
      <c r="BI13" s="20"/>
      <c r="BJ13" s="13"/>
      <c r="BK13" s="20"/>
      <c r="BL13" s="13"/>
      <c r="BM13" s="17"/>
      <c r="BN13" s="20"/>
      <c r="BO13" s="13"/>
      <c r="BP13" s="20"/>
      <c r="BQ13" s="13"/>
      <c r="BR13" s="13"/>
      <c r="BS13" s="13"/>
      <c r="BT13" s="20"/>
      <c r="BU13" s="17"/>
      <c r="BV13" s="13"/>
      <c r="BW13" s="17"/>
      <c r="BX13" s="13"/>
      <c r="BY13" s="20"/>
      <c r="BZ13" s="17"/>
      <c r="CA13" s="13"/>
      <c r="CB13" s="17"/>
      <c r="CC13" s="13"/>
      <c r="CD13" s="13"/>
      <c r="CE13" s="21"/>
      <c r="CF13" s="21"/>
      <c r="CG13" s="20"/>
      <c r="CH13" s="13"/>
      <c r="CI13" s="13"/>
      <c r="CJ13" s="20"/>
      <c r="CK13" s="17"/>
      <c r="CL13" s="13"/>
      <c r="CM13" s="21"/>
      <c r="CN13" s="17"/>
      <c r="CO13" s="13"/>
      <c r="CP13" s="18"/>
      <c r="CQ13" s="20"/>
      <c r="CR13" s="13"/>
      <c r="CS13" s="18"/>
      <c r="CT13" s="13"/>
      <c r="CU13" s="20"/>
      <c r="CV13" s="17"/>
      <c r="CW13" s="13"/>
      <c r="CX13" s="17"/>
      <c r="CY13" s="20"/>
      <c r="CZ13" s="21"/>
      <c r="DA13" s="13"/>
      <c r="DB13" s="13"/>
      <c r="DD13" s="21"/>
      <c r="DF13" s="19"/>
      <c r="DG13" s="19"/>
      <c r="DH13" s="19"/>
      <c r="DI13" s="19"/>
      <c r="DJ13" s="19"/>
      <c r="DK13" s="19"/>
      <c r="DL13" s="19"/>
      <c r="DM13" s="19"/>
      <c r="DN13" s="19"/>
      <c r="DO13" s="19"/>
      <c r="DQ13" s="19"/>
      <c r="DR13" s="19"/>
      <c r="DS13" s="19"/>
      <c r="DT13" s="19"/>
      <c r="DU13" s="19"/>
    </row>
    <row r="14" customFormat="false" ht="12.8" hidden="false" customHeight="false" outlineLevel="0" collapsed="false">
      <c r="A14" s="1" t="s">
        <v>177</v>
      </c>
      <c r="S14" s="21"/>
      <c r="T14" s="18"/>
      <c r="U14" s="18"/>
      <c r="V14" s="19"/>
      <c r="W14" s="19" t="n">
        <v>85685.96</v>
      </c>
      <c r="X14" s="19" t="n">
        <v>7098.44</v>
      </c>
      <c r="Y14" s="19" t="n">
        <v>93903.3</v>
      </c>
      <c r="Z14" s="19" t="n">
        <v>6292.4</v>
      </c>
      <c r="AA14" s="19" t="n">
        <v>1201866.54</v>
      </c>
      <c r="AB14" s="19" t="n">
        <v>7019.62</v>
      </c>
      <c r="AC14" s="19"/>
      <c r="AD14" s="19" t="n">
        <v>86716.16</v>
      </c>
      <c r="AE14" s="19" t="n">
        <v>7961.1</v>
      </c>
      <c r="AF14" s="19" t="n">
        <v>101725.96</v>
      </c>
      <c r="AG14" s="19" t="n">
        <v>7966.38</v>
      </c>
      <c r="AH14" s="19" t="n">
        <v>679793.24</v>
      </c>
      <c r="AI14" s="19" t="n">
        <v>5997.58</v>
      </c>
      <c r="AJ14" s="2"/>
      <c r="AK14" s="19" t="n">
        <v>97738.1</v>
      </c>
      <c r="AL14" s="19"/>
      <c r="AM14" s="19" t="n">
        <v>92508.78</v>
      </c>
      <c r="AN14" s="19"/>
      <c r="AO14" s="19"/>
      <c r="AP14" s="21"/>
      <c r="AQ14" s="18"/>
      <c r="AR14" s="18"/>
      <c r="AS14" s="21"/>
      <c r="AT14" s="21"/>
      <c r="AV14" s="19" t="n">
        <v>3190.88</v>
      </c>
      <c r="AW14" s="19" t="n">
        <v>92952.98</v>
      </c>
      <c r="AX14" s="13"/>
      <c r="AY14" s="20"/>
      <c r="AZ14" s="17"/>
      <c r="BA14" s="17"/>
      <c r="BB14" s="17"/>
      <c r="BC14" s="13"/>
      <c r="BD14" s="13"/>
      <c r="BE14" s="13"/>
      <c r="BF14" s="13"/>
      <c r="BG14" s="17"/>
      <c r="BH14" s="18"/>
      <c r="BI14" s="20"/>
      <c r="BJ14" s="13"/>
      <c r="BK14" s="20"/>
      <c r="BL14" s="13"/>
      <c r="BM14" s="17"/>
      <c r="BN14" s="20"/>
      <c r="BO14" s="13"/>
      <c r="BP14" s="20"/>
      <c r="BQ14" s="13"/>
      <c r="BR14" s="13"/>
      <c r="BS14" s="13"/>
      <c r="BT14" s="20"/>
      <c r="BU14" s="17"/>
      <c r="BV14" s="13"/>
      <c r="BW14" s="17"/>
      <c r="BX14" s="13"/>
      <c r="BY14" s="20"/>
      <c r="BZ14" s="17"/>
      <c r="CA14" s="13"/>
      <c r="CB14" s="19" t="n">
        <v>126827.36</v>
      </c>
      <c r="CC14" s="19" t="n">
        <v>110385.66</v>
      </c>
      <c r="CD14" s="19" t="n">
        <v>3665.84</v>
      </c>
      <c r="CE14" s="21"/>
      <c r="CF14" s="21"/>
      <c r="CG14" s="19" t="n">
        <v>81975.82</v>
      </c>
      <c r="CH14" s="19" t="n">
        <v>78729.08</v>
      </c>
      <c r="CI14" s="13"/>
      <c r="CJ14" s="20"/>
      <c r="CK14" s="17"/>
      <c r="CL14" s="13"/>
      <c r="CM14" s="21"/>
      <c r="CN14" s="17"/>
      <c r="CO14" s="13"/>
      <c r="CP14" s="18"/>
      <c r="CQ14" s="20"/>
      <c r="CR14" s="13"/>
      <c r="CS14" s="18"/>
      <c r="CT14" s="13"/>
      <c r="CU14" s="20"/>
      <c r="CV14" s="17"/>
      <c r="CW14" s="19" t="n">
        <v>88083.5</v>
      </c>
      <c r="CX14" s="17"/>
      <c r="CY14" s="20"/>
      <c r="CZ14" s="21"/>
      <c r="DA14" s="13"/>
      <c r="DB14" s="13"/>
      <c r="DD14" s="21"/>
      <c r="DF14" s="19"/>
      <c r="DG14" s="19"/>
      <c r="DH14" s="19"/>
      <c r="DI14" s="19"/>
      <c r="DJ14" s="19"/>
      <c r="DK14" s="19"/>
      <c r="DL14" s="19"/>
      <c r="DM14" s="19"/>
      <c r="DN14" s="19"/>
      <c r="DO14" s="19"/>
      <c r="DQ14" s="19"/>
      <c r="DR14" s="19"/>
      <c r="DS14" s="19"/>
      <c r="DT14" s="19"/>
      <c r="DU14" s="19"/>
    </row>
    <row r="15" customFormat="false" ht="12.8" hidden="false" customHeight="false" outlineLevel="0" collapsed="false">
      <c r="CT15" s="2"/>
    </row>
    <row r="16" customFormat="false" ht="12.8" hidden="false" customHeight="false" outlineLevel="0" collapsed="false">
      <c r="A16" s="1" t="s">
        <v>178</v>
      </c>
      <c r="CT16" s="2"/>
    </row>
    <row r="17" customFormat="false" ht="12.8" hidden="false" customHeight="false" outlineLevel="0" collapsed="false">
      <c r="A17" s="1" t="s">
        <v>179</v>
      </c>
      <c r="W17" s="19" t="n">
        <v>681523.18</v>
      </c>
      <c r="X17" s="19" t="n">
        <v>681920.94</v>
      </c>
      <c r="Y17" s="19" t="n">
        <v>681526.92</v>
      </c>
      <c r="Z17" s="19" t="n">
        <v>681924.84</v>
      </c>
      <c r="AA17" s="19" t="n">
        <v>1009491.26</v>
      </c>
      <c r="AB17" s="19" t="n">
        <v>1093477.58</v>
      </c>
      <c r="AD17" s="19" t="n">
        <v>670295.62</v>
      </c>
      <c r="AE17" s="19" t="n">
        <v>675995.8</v>
      </c>
      <c r="AF17" s="19" t="n">
        <v>670344.74</v>
      </c>
      <c r="AG17" s="19" t="n">
        <v>675907.32</v>
      </c>
      <c r="AH17" s="19" t="n">
        <v>983349.9</v>
      </c>
      <c r="AI17" s="19" t="n">
        <v>1061537.5</v>
      </c>
      <c r="AJ17" s="2"/>
      <c r="AK17" s="19" t="n">
        <v>1105052.8</v>
      </c>
      <c r="AM17" s="19" t="n">
        <v>681494.2</v>
      </c>
      <c r="AV17" s="19" t="n">
        <v>677620.38</v>
      </c>
      <c r="AW17" s="19" t="n">
        <v>675834.98</v>
      </c>
      <c r="AX17" s="16"/>
      <c r="AY17" s="16" t="n">
        <v>675838.82</v>
      </c>
      <c r="AZ17" s="19" t="n">
        <v>675705.26</v>
      </c>
      <c r="BA17" s="19" t="n">
        <v>675705.86</v>
      </c>
      <c r="BB17" s="19"/>
      <c r="BC17" s="17" t="n">
        <v>675108.9</v>
      </c>
      <c r="BD17" s="16" t="n">
        <v>666626.74</v>
      </c>
      <c r="BE17" s="16" t="n">
        <v>675760.32</v>
      </c>
      <c r="BF17" s="16" t="n">
        <v>669452.3</v>
      </c>
      <c r="BG17" s="19"/>
      <c r="BI17" s="16" t="n">
        <v>660258.08</v>
      </c>
      <c r="BJ17" s="16"/>
      <c r="BK17" s="16" t="n">
        <v>653941.86</v>
      </c>
      <c r="BL17" s="16"/>
      <c r="BM17" s="19" t="n">
        <v>658932.82</v>
      </c>
      <c r="BN17" s="16" t="n">
        <v>650875.02</v>
      </c>
      <c r="BO17" s="16"/>
      <c r="BP17" s="16" t="n">
        <v>652385.48</v>
      </c>
      <c r="BQ17" s="19" t="n">
        <v>652737.78</v>
      </c>
      <c r="BR17" s="16" t="n">
        <v>656715.68</v>
      </c>
      <c r="BS17" s="16" t="n">
        <v>652739.54</v>
      </c>
      <c r="BT17" s="16"/>
      <c r="BU17" s="19" t="n">
        <v>658045.8</v>
      </c>
      <c r="BV17" s="19"/>
      <c r="BW17" s="19" t="n">
        <v>652845.92</v>
      </c>
      <c r="BX17" s="19"/>
      <c r="BY17" s="16" t="n">
        <v>659215.38</v>
      </c>
      <c r="BZ17" s="19" t="n">
        <v>651742.22</v>
      </c>
      <c r="CA17" s="19"/>
      <c r="CB17" s="19" t="n">
        <v>652291.7</v>
      </c>
      <c r="CC17" s="16" t="n">
        <v>652442.64</v>
      </c>
      <c r="CD17" s="19" t="n">
        <v>656052.04</v>
      </c>
      <c r="CG17" s="16" t="n">
        <v>652385.48</v>
      </c>
      <c r="CH17" s="19" t="n">
        <v>652737.7</v>
      </c>
      <c r="CI17" s="19"/>
      <c r="CJ17" s="16"/>
      <c r="CK17" s="19" t="n">
        <v>652291.7</v>
      </c>
      <c r="CL17" s="16" t="n">
        <v>652440.98</v>
      </c>
      <c r="CN17" s="19" t="n">
        <v>652385.48</v>
      </c>
      <c r="CO17" s="16" t="n">
        <v>652385.48</v>
      </c>
      <c r="CQ17" s="16" t="n">
        <v>651572.04</v>
      </c>
      <c r="CR17" s="16" t="n">
        <v>4302122.84</v>
      </c>
      <c r="CT17" s="16" t="n">
        <v>1075440.7</v>
      </c>
      <c r="CU17" s="16" t="n">
        <v>1022497.9</v>
      </c>
      <c r="CV17" s="19" t="n">
        <v>1022917.74</v>
      </c>
      <c r="CW17" s="19" t="n">
        <v>675108.9</v>
      </c>
      <c r="CX17" s="19" t="n">
        <v>1021815.2</v>
      </c>
      <c r="CY17" s="16" t="n">
        <v>675108.9</v>
      </c>
      <c r="DB17" s="22" t="n">
        <v>675705.54</v>
      </c>
    </row>
    <row r="18" customFormat="false" ht="12.8" hidden="false" customHeight="false" outlineLevel="0" collapsed="false">
      <c r="A18" s="1" t="s">
        <v>180</v>
      </c>
      <c r="D18" s="1" t="n">
        <v>276809</v>
      </c>
      <c r="E18" s="1" t="n">
        <v>232509</v>
      </c>
      <c r="F18" s="1" t="n">
        <v>230108</v>
      </c>
      <c r="G18" s="1" t="n">
        <v>224249</v>
      </c>
      <c r="H18" s="1" t="n">
        <v>219022</v>
      </c>
      <c r="I18" s="1" t="n">
        <v>276000</v>
      </c>
      <c r="J18" s="1" t="n">
        <v>233000</v>
      </c>
      <c r="K18" s="1" t="n">
        <v>230000</v>
      </c>
      <c r="L18" s="1" t="n">
        <v>224000</v>
      </c>
      <c r="M18" s="1" t="n">
        <v>219000</v>
      </c>
      <c r="N18" s="1" t="n">
        <v>207000</v>
      </c>
      <c r="O18" s="1" t="n">
        <v>276000</v>
      </c>
      <c r="P18" s="1" t="n">
        <v>230000</v>
      </c>
      <c r="Q18" s="1" t="n">
        <v>232000</v>
      </c>
      <c r="R18" s="1" t="n">
        <v>47000</v>
      </c>
      <c r="S18" s="13" t="n">
        <v>291922.74</v>
      </c>
      <c r="T18" s="13" t="n">
        <v>276087.16</v>
      </c>
      <c r="U18" s="13"/>
      <c r="V18" s="19" t="n">
        <v>47959.86</v>
      </c>
      <c r="W18" s="19" t="n">
        <v>230315.44</v>
      </c>
      <c r="X18" s="19" t="n">
        <v>230315.44</v>
      </c>
      <c r="Y18" s="19" t="n">
        <v>231245.36</v>
      </c>
      <c r="Z18" s="19" t="n">
        <v>231245.36</v>
      </c>
      <c r="AA18" s="19" t="n">
        <v>245387</v>
      </c>
      <c r="AB18" s="19" t="n">
        <v>245387</v>
      </c>
      <c r="AC18" s="19" t="n">
        <v>49513.36</v>
      </c>
      <c r="AD18" s="19" t="n">
        <v>205349.16</v>
      </c>
      <c r="AE18" s="19" t="n">
        <v>205349.16</v>
      </c>
      <c r="AF18" s="19" t="n">
        <v>202659</v>
      </c>
      <c r="AG18" s="19" t="n">
        <v>202659</v>
      </c>
      <c r="AH18" s="19" t="n">
        <v>171804.92</v>
      </c>
      <c r="AI18" s="19" t="n">
        <v>171804.92</v>
      </c>
      <c r="AJ18" s="19" t="n">
        <v>53667.46</v>
      </c>
      <c r="AK18" s="19" t="n">
        <v>301179.86</v>
      </c>
      <c r="AL18" s="19" t="n">
        <v>47976.58</v>
      </c>
      <c r="AM18" s="19" t="n">
        <v>230301.72</v>
      </c>
      <c r="AN18" s="19"/>
      <c r="AO18" s="19"/>
      <c r="AP18" s="13"/>
      <c r="AQ18" s="13" t="n">
        <v>231020.72</v>
      </c>
      <c r="AR18" s="13" t="n">
        <v>233574.76</v>
      </c>
      <c r="AS18" s="13" t="n">
        <v>230461.84</v>
      </c>
      <c r="AT18" s="13" t="n">
        <v>230461.84</v>
      </c>
      <c r="AV18" s="19" t="n">
        <v>231020.72</v>
      </c>
      <c r="AW18" s="19" t="n">
        <v>231020.72</v>
      </c>
      <c r="AX18" s="19"/>
      <c r="AY18" s="16" t="n">
        <v>233574.36</v>
      </c>
      <c r="AZ18" s="19" t="n">
        <v>230314.66</v>
      </c>
      <c r="BA18" s="19" t="n">
        <v>230314.66</v>
      </c>
      <c r="BB18" s="19"/>
      <c r="BC18" s="19" t="n">
        <v>218449.8</v>
      </c>
      <c r="BD18" s="19" t="n">
        <v>206964.42</v>
      </c>
      <c r="BE18" s="19" t="n">
        <v>233548.58</v>
      </c>
      <c r="BF18" s="19" t="n">
        <v>233391.84</v>
      </c>
      <c r="BG18" s="19"/>
      <c r="BH18" s="16" t="n">
        <v>181316.08</v>
      </c>
      <c r="BI18" s="16" t="n">
        <v>138755.2</v>
      </c>
      <c r="BJ18" s="16"/>
      <c r="BK18" s="16" t="n">
        <v>136754.14</v>
      </c>
      <c r="BL18" s="16"/>
      <c r="BM18" s="19" t="n">
        <v>137122.82</v>
      </c>
      <c r="BN18" s="16" t="n">
        <v>138765.9</v>
      </c>
      <c r="BO18" s="16"/>
      <c r="BP18" s="16" t="n">
        <v>138749.42</v>
      </c>
      <c r="BQ18" s="19" t="n">
        <v>136747.12</v>
      </c>
      <c r="BR18" s="19" t="n">
        <v>136755.36</v>
      </c>
      <c r="BS18" s="19" t="n">
        <v>136747.1</v>
      </c>
      <c r="BT18" s="16"/>
      <c r="BU18" s="19" t="n">
        <v>193058.7</v>
      </c>
      <c r="BV18" s="19"/>
      <c r="BW18" s="19" t="n">
        <v>195986.04</v>
      </c>
      <c r="BX18" s="19"/>
      <c r="BY18" s="16" t="n">
        <v>186893.12</v>
      </c>
      <c r="BZ18" s="19" t="n">
        <v>192705.6</v>
      </c>
      <c r="CA18" s="19"/>
      <c r="CB18" s="19" t="n">
        <v>192304.8</v>
      </c>
      <c r="CC18" s="16" t="n">
        <v>184898.04</v>
      </c>
      <c r="CD18" s="16" t="n">
        <v>184898.04</v>
      </c>
      <c r="CG18" s="16" t="n">
        <v>137488.48</v>
      </c>
      <c r="CH18" s="19" t="n">
        <v>136846.8</v>
      </c>
      <c r="CI18" s="19"/>
      <c r="CJ18" s="16"/>
      <c r="CK18" s="19" t="n">
        <v>192303.04</v>
      </c>
      <c r="CL18" s="16" t="n">
        <v>184891.22</v>
      </c>
      <c r="CN18" s="19" t="n">
        <v>141479.26</v>
      </c>
      <c r="CO18" s="19" t="n">
        <v>141479.26</v>
      </c>
      <c r="CQ18" s="16" t="n">
        <v>295877.52</v>
      </c>
      <c r="CR18" s="19" t="n">
        <v>307883.46</v>
      </c>
      <c r="CT18" s="16" t="n">
        <v>299866.64</v>
      </c>
      <c r="CU18" s="16" t="n">
        <v>298784.7</v>
      </c>
      <c r="CV18" s="19" t="n">
        <v>298513.26</v>
      </c>
      <c r="CW18" s="19" t="n">
        <v>218449.8</v>
      </c>
      <c r="CX18" s="19" t="n">
        <v>297440.88</v>
      </c>
      <c r="CY18" s="16" t="n">
        <v>218449.8</v>
      </c>
      <c r="DB18" s="22" t="n">
        <v>227636.76</v>
      </c>
      <c r="DJ18" s="19"/>
    </row>
    <row r="19" customFormat="false" ht="12.8" hidden="false" customHeight="false" outlineLevel="0" collapsed="false">
      <c r="A19" s="1" t="s">
        <v>181</v>
      </c>
      <c r="D19" s="1" t="n">
        <v>3268093</v>
      </c>
      <c r="E19" s="1" t="n">
        <v>681995</v>
      </c>
      <c r="F19" s="1" t="n">
        <v>681989</v>
      </c>
      <c r="G19" s="1" t="n">
        <v>664469</v>
      </c>
      <c r="H19" s="1" t="n">
        <v>660555</v>
      </c>
      <c r="I19" s="1" t="n">
        <v>3268000</v>
      </c>
      <c r="J19" s="1" t="n">
        <v>682000</v>
      </c>
      <c r="K19" s="1" t="n">
        <v>678000</v>
      </c>
      <c r="L19" s="1" t="n">
        <v>664000</v>
      </c>
      <c r="M19" s="1" t="n">
        <v>661000</v>
      </c>
      <c r="N19" s="1" t="n">
        <v>653000</v>
      </c>
      <c r="O19" s="1" t="n">
        <v>3268000</v>
      </c>
      <c r="P19" s="1" t="n">
        <v>682000</v>
      </c>
      <c r="Q19" s="1" t="n">
        <v>663000</v>
      </c>
      <c r="R19" s="1" t="n">
        <v>383000</v>
      </c>
      <c r="S19" s="13" t="n">
        <v>3436186.5</v>
      </c>
      <c r="T19" s="13" t="n">
        <v>3265722.1</v>
      </c>
      <c r="U19" s="13"/>
      <c r="V19" s="15" t="n">
        <v>385607.16</v>
      </c>
      <c r="W19" s="15" t="n">
        <v>673928.18</v>
      </c>
      <c r="X19" s="13"/>
      <c r="Y19" s="13"/>
      <c r="Z19" s="13"/>
      <c r="AA19" s="13"/>
      <c r="AB19" s="13"/>
      <c r="AC19" s="15" t="n">
        <v>386204.06</v>
      </c>
      <c r="AD19" s="15" t="n">
        <v>660351.4</v>
      </c>
      <c r="AE19" s="13"/>
      <c r="AF19" s="13"/>
      <c r="AG19" s="13"/>
      <c r="AH19" s="13"/>
      <c r="AI19" s="13"/>
      <c r="AJ19" s="15" t="n">
        <v>487770.76</v>
      </c>
      <c r="AK19" s="15" t="n">
        <v>1055189.96</v>
      </c>
      <c r="AL19" s="15" t="n">
        <v>385597.68</v>
      </c>
      <c r="AM19" s="15" t="n">
        <v>673895.38</v>
      </c>
      <c r="AN19" s="13"/>
      <c r="AO19" s="13"/>
      <c r="AP19" s="14"/>
      <c r="AQ19" s="13" t="n">
        <v>680969.48</v>
      </c>
      <c r="AR19" s="13" t="n">
        <v>680969.72</v>
      </c>
      <c r="AS19" s="13" t="n">
        <v>680816.56</v>
      </c>
      <c r="AT19" s="13" t="n">
        <v>680816.56</v>
      </c>
      <c r="AW19" s="18" t="n">
        <v>680969.18</v>
      </c>
      <c r="AX19" s="18"/>
      <c r="AY19" s="18" t="n">
        <v>680969.42</v>
      </c>
      <c r="AZ19" s="21" t="n">
        <v>680770.64</v>
      </c>
      <c r="BA19" s="21" t="n">
        <v>680770.64</v>
      </c>
      <c r="BB19" s="21"/>
      <c r="BC19" s="17" t="n">
        <v>681269.86</v>
      </c>
      <c r="BD19" s="16" t="n">
        <v>669269.48</v>
      </c>
      <c r="BE19" s="16" t="n">
        <v>681194.04</v>
      </c>
      <c r="BF19" s="16" t="n">
        <v>669321.3</v>
      </c>
      <c r="BG19" s="21"/>
      <c r="BH19" s="18" t="n">
        <v>736962.46</v>
      </c>
      <c r="BI19" s="18" t="n">
        <v>725891</v>
      </c>
      <c r="BJ19" s="18"/>
      <c r="BK19" s="18" t="n">
        <v>732281.16</v>
      </c>
      <c r="BL19" s="18"/>
      <c r="BM19" s="21" t="n">
        <v>737686.8</v>
      </c>
      <c r="BN19" s="18" t="n">
        <v>722666.38</v>
      </c>
      <c r="BO19" s="18"/>
      <c r="BP19" s="18" t="n">
        <v>726460.06</v>
      </c>
      <c r="BQ19" s="21" t="n">
        <v>738384.28</v>
      </c>
      <c r="BR19" s="16" t="n">
        <v>731433.74</v>
      </c>
      <c r="BS19" s="16" t="n">
        <v>738384.28</v>
      </c>
      <c r="BT19" s="18"/>
      <c r="BU19" s="21" t="n">
        <v>658747.64</v>
      </c>
      <c r="BV19" s="21"/>
      <c r="BW19" s="21" t="n">
        <v>655186.6</v>
      </c>
      <c r="BX19" s="21"/>
      <c r="BY19" s="18" t="n">
        <v>654827.38</v>
      </c>
      <c r="BZ19" s="21" t="n">
        <v>646463.52</v>
      </c>
      <c r="CA19" s="21"/>
      <c r="CB19" s="21" t="n">
        <v>652954.98</v>
      </c>
      <c r="CC19" s="18" t="n">
        <v>652365.14</v>
      </c>
      <c r="CG19" s="18" t="n">
        <v>726460.1</v>
      </c>
      <c r="CH19" s="21" t="n">
        <v>738383.76</v>
      </c>
      <c r="CI19" s="21"/>
      <c r="CJ19" s="18"/>
      <c r="CK19" s="21" t="n">
        <v>652954.96</v>
      </c>
      <c r="CL19" s="18" t="n">
        <v>653143.14</v>
      </c>
      <c r="CN19" s="21" t="n">
        <v>731839.84</v>
      </c>
      <c r="CO19" s="16" t="n">
        <v>731839.84</v>
      </c>
      <c r="CQ19" s="18" t="n">
        <v>697359.6</v>
      </c>
      <c r="CR19" s="16" t="n">
        <v>771673.64</v>
      </c>
      <c r="CT19" s="18" t="n">
        <v>843845.64</v>
      </c>
      <c r="CU19" s="18" t="n">
        <v>804660.78</v>
      </c>
      <c r="CV19" s="21" t="n">
        <v>809424.74</v>
      </c>
      <c r="CW19" s="21" t="n">
        <v>681269.86</v>
      </c>
      <c r="CX19" s="21" t="n">
        <v>809545.24</v>
      </c>
      <c r="CY19" s="18" t="n">
        <v>681269.86</v>
      </c>
      <c r="DB19" s="23" t="n">
        <v>680633.78</v>
      </c>
      <c r="DJ19" s="19"/>
    </row>
    <row r="20" customFormat="false" ht="12.8" hidden="false" customHeight="false" outlineLevel="0" collapsed="false">
      <c r="CT20" s="2"/>
    </row>
    <row r="21" customFormat="false" ht="12.8" hidden="false" customHeight="false" outlineLevel="0" collapsed="false">
      <c r="A21" s="1" t="s">
        <v>182</v>
      </c>
      <c r="CT21" s="2"/>
    </row>
    <row r="22" customFormat="false" ht="12.8" hidden="false" customHeight="false" outlineLevel="0" collapsed="false">
      <c r="A22" s="1" t="s">
        <v>183</v>
      </c>
      <c r="B22" s="1" t="n">
        <v>64002</v>
      </c>
      <c r="C22" s="1" t="n">
        <v>34474</v>
      </c>
      <c r="I22" s="1" t="n">
        <v>99396</v>
      </c>
      <c r="J22" s="1" t="n">
        <v>84011</v>
      </c>
      <c r="K22" s="1" t="n">
        <v>84007</v>
      </c>
      <c r="L22" s="1" t="n">
        <v>93543</v>
      </c>
      <c r="M22" s="1" t="n">
        <v>93145</v>
      </c>
      <c r="N22" s="1" t="n">
        <v>78212</v>
      </c>
      <c r="S22" s="19"/>
      <c r="T22" s="19"/>
      <c r="U22" s="19"/>
      <c r="V22" s="19"/>
      <c r="W22" s="19"/>
      <c r="X22" s="19"/>
      <c r="Y22" s="19"/>
      <c r="Z22" s="19"/>
      <c r="AA22" s="19"/>
      <c r="AB22" s="19"/>
      <c r="AC22" s="19"/>
      <c r="AD22" s="19"/>
      <c r="AE22" s="19"/>
      <c r="AF22" s="19"/>
      <c r="AG22" s="19"/>
      <c r="AH22" s="19"/>
      <c r="AI22" s="19"/>
      <c r="AJ22" s="19"/>
      <c r="AK22" s="19"/>
      <c r="AL22" s="19"/>
      <c r="AM22" s="19"/>
      <c r="AN22" s="19"/>
      <c r="AO22" s="19"/>
      <c r="AP22" s="19"/>
      <c r="AQ22" s="1" t="n">
        <v>88594</v>
      </c>
      <c r="CT22" s="2"/>
    </row>
    <row r="23" customFormat="false" ht="12.8" hidden="false" customHeight="false" outlineLevel="0" collapsed="false">
      <c r="CT23" s="2"/>
    </row>
    <row r="24" customFormat="false" ht="12.8" hidden="false" customHeight="false" outlineLevel="0" collapsed="false">
      <c r="A24" s="1" t="s">
        <v>184</v>
      </c>
      <c r="CT24" s="2"/>
      <c r="DF24" s="2"/>
      <c r="DG24" s="2"/>
      <c r="DH24" s="2"/>
      <c r="DI24" s="2"/>
      <c r="DJ24" s="2"/>
      <c r="DK24" s="2"/>
      <c r="DL24" s="2"/>
      <c r="DM24" s="2"/>
      <c r="DN24" s="2"/>
      <c r="DO24" s="2"/>
      <c r="DP24" s="2"/>
      <c r="DQ24" s="2"/>
      <c r="DR24" s="2"/>
      <c r="DS24" s="2"/>
      <c r="DT24" s="2"/>
      <c r="DU24" s="2"/>
    </row>
    <row r="25" customFormat="false" ht="12.8" hidden="false" customHeight="false" outlineLevel="0" collapsed="false">
      <c r="A25" s="1" t="s">
        <v>185</v>
      </c>
      <c r="B25" s="1" t="n">
        <v>9646</v>
      </c>
      <c r="C25" s="1" t="n">
        <v>12085</v>
      </c>
      <c r="D25" s="1" t="n">
        <v>5406</v>
      </c>
      <c r="E25" s="1" t="n">
        <v>6677</v>
      </c>
      <c r="F25" s="1" t="n">
        <v>6880</v>
      </c>
      <c r="G25" s="1" t="n">
        <v>5545</v>
      </c>
      <c r="H25" s="1" t="n">
        <v>5546</v>
      </c>
      <c r="I25" s="1" t="n">
        <v>5406</v>
      </c>
      <c r="J25" s="1" t="n">
        <v>6676</v>
      </c>
      <c r="K25" s="1" t="n">
        <v>6876</v>
      </c>
      <c r="L25" s="1" t="n">
        <v>5545</v>
      </c>
      <c r="M25" s="1" t="n">
        <v>5545</v>
      </c>
      <c r="N25" s="1" t="n">
        <v>6262</v>
      </c>
      <c r="O25" s="1" t="n">
        <v>5406</v>
      </c>
      <c r="P25" s="1" t="n">
        <v>6873</v>
      </c>
      <c r="Q25" s="1" t="n">
        <v>5545</v>
      </c>
      <c r="R25" s="1" t="n">
        <v>6718</v>
      </c>
      <c r="S25" s="13" t="n">
        <v>5519.09495077803</v>
      </c>
      <c r="T25" s="13" t="n">
        <v>5338.64782470626</v>
      </c>
      <c r="U25" s="13"/>
      <c r="V25" s="15" t="n">
        <v>6336.63035884408</v>
      </c>
      <c r="W25" s="24" t="n">
        <v>7032.17751667196</v>
      </c>
      <c r="X25" s="13"/>
      <c r="Y25" s="13"/>
      <c r="Z25" s="13"/>
      <c r="AA25" s="13"/>
      <c r="AB25" s="13"/>
      <c r="AC25" s="15" t="n">
        <v>5853.20641473484</v>
      </c>
      <c r="AD25" s="15" t="n">
        <v>6905.7221340108</v>
      </c>
      <c r="AE25" s="13"/>
      <c r="AF25" s="13"/>
      <c r="AG25" s="13"/>
      <c r="AH25" s="13"/>
      <c r="AI25" s="13"/>
      <c r="AJ25" s="15" t="n">
        <v>7313.01492537313</v>
      </c>
      <c r="AK25" s="15" t="n">
        <v>7983.46681486186</v>
      </c>
      <c r="AL25" s="25" t="n">
        <v>6338.36138456653</v>
      </c>
      <c r="AM25" s="15" t="n">
        <v>7035.05684344236</v>
      </c>
      <c r="AN25" s="13"/>
      <c r="AO25" s="13"/>
      <c r="AQ25" s="13" t="n">
        <v>6900.75579549063</v>
      </c>
      <c r="AR25" s="13" t="n">
        <v>6910.56906954589</v>
      </c>
      <c r="AS25" s="13" t="n">
        <v>6884.14290250873</v>
      </c>
      <c r="AT25" s="13" t="n">
        <v>6884.14290250873</v>
      </c>
      <c r="AW25" s="13" t="n">
        <v>6900.75579549063</v>
      </c>
      <c r="AY25" s="13" t="n">
        <v>6910.56906954589</v>
      </c>
      <c r="AZ25" s="13" t="n">
        <v>6884.14290250873</v>
      </c>
      <c r="BA25" s="13" t="n">
        <v>6884.14290250873</v>
      </c>
      <c r="BH25" s="13" t="n">
        <v>5470.32867577009</v>
      </c>
      <c r="CT25" s="2"/>
      <c r="DF25" s="19"/>
      <c r="DG25" s="19"/>
      <c r="DH25" s="19"/>
      <c r="DI25" s="19"/>
      <c r="DJ25" s="19"/>
      <c r="DK25" s="19"/>
      <c r="DL25" s="19"/>
      <c r="DM25" s="19"/>
      <c r="DN25" s="19"/>
      <c r="DO25" s="19"/>
      <c r="DQ25" s="19"/>
      <c r="DR25" s="19"/>
      <c r="DS25" s="19"/>
      <c r="DT25" s="19"/>
      <c r="DU25" s="19"/>
    </row>
    <row r="26" customFormat="false" ht="12.8" hidden="false" customHeight="false" outlineLevel="0" collapsed="false">
      <c r="A26" s="1" t="s">
        <v>186</v>
      </c>
      <c r="S26" s="13"/>
      <c r="T26" s="13"/>
      <c r="U26" s="13"/>
      <c r="V26" s="13"/>
      <c r="W26" s="13"/>
      <c r="X26" s="13"/>
      <c r="Y26" s="13"/>
      <c r="Z26" s="13"/>
      <c r="AA26" s="13"/>
      <c r="AB26" s="13"/>
      <c r="AC26" s="13"/>
      <c r="AD26" s="13"/>
      <c r="AE26" s="13"/>
      <c r="AF26" s="13"/>
      <c r="AG26" s="13"/>
      <c r="AH26" s="13"/>
      <c r="AI26" s="13"/>
      <c r="AJ26" s="13"/>
      <c r="AK26" s="13"/>
      <c r="AL26" s="13"/>
      <c r="AM26" s="13"/>
      <c r="AN26" s="13"/>
      <c r="AO26" s="13"/>
      <c r="AQ26" s="13"/>
      <c r="AR26" s="13"/>
      <c r="AS26" s="13"/>
      <c r="AT26" s="13"/>
      <c r="BH26" s="13"/>
      <c r="CT26" s="2"/>
      <c r="DF26" s="19"/>
      <c r="DG26" s="19"/>
      <c r="DH26" s="19"/>
      <c r="DI26" s="19"/>
      <c r="DJ26" s="19"/>
      <c r="DK26" s="19"/>
      <c r="DL26" s="19"/>
      <c r="DM26" s="19"/>
      <c r="DN26" s="19"/>
      <c r="DO26" s="19"/>
      <c r="DQ26" s="19"/>
      <c r="DR26" s="19"/>
      <c r="DS26" s="19"/>
      <c r="DT26" s="19"/>
      <c r="DU26" s="19"/>
    </row>
    <row r="27" customFormat="false" ht="12.8" hidden="false" customHeight="false" outlineLevel="0" collapsed="false">
      <c r="CT27" s="2"/>
    </row>
    <row r="28" customFormat="false" ht="12.8" hidden="false" customHeight="false" outlineLevel="0" collapsed="false">
      <c r="A28" s="1" t="s">
        <v>187</v>
      </c>
      <c r="E28" s="1" t="n">
        <f aca="false">AVERAGE(E10,E12,E18,E19,E25)</f>
        <v>211809.4</v>
      </c>
      <c r="F28" s="1" t="n">
        <f aca="false">AVERAGE(F10,F12,F18,F19,F25)</f>
        <v>203812</v>
      </c>
      <c r="G28" s="1" t="n">
        <f aca="false">AVERAGE(G10,G12,G18,G19,G25)</f>
        <v>196279.2</v>
      </c>
      <c r="H28" s="1" t="n">
        <f aca="false">AVERAGE(H10,H12,H18,H19,H25)</f>
        <v>210716.6</v>
      </c>
      <c r="I28" s="1" t="n">
        <f aca="false">AVERAGE(I10,I12,I18,I19,I25)</f>
        <v>780295.6</v>
      </c>
      <c r="J28" s="1" t="n">
        <f aca="false">AVERAGE(J10,J12,J18,J19,J25)</f>
        <v>214370</v>
      </c>
      <c r="K28" s="1" t="n">
        <f aca="false">AVERAGE(K10,K12,K18,K19,K25)</f>
        <v>206069</v>
      </c>
      <c r="L28" s="1" t="n">
        <f aca="false">AVERAGE(L10,L12,L18,L19,L25)</f>
        <v>197541.2</v>
      </c>
      <c r="M28" s="1" t="n">
        <f aca="false">AVERAGE(M10,M12,M18,M19,M25)</f>
        <v>201582</v>
      </c>
      <c r="N28" s="1" t="n">
        <f aca="false">AVERAGE(N10,N12,N18,N19,N25)</f>
        <v>194274.8</v>
      </c>
      <c r="O28" s="1" t="n">
        <f aca="false">AVERAGE(O10,O12,O18,O19,O25)</f>
        <v>780095.6</v>
      </c>
      <c r="P28" s="1" t="n">
        <f aca="false">AVERAGE(P10,P12,P18,P19,P25)</f>
        <v>208404.2</v>
      </c>
      <c r="Q28" s="1" t="n">
        <f aca="false">AVERAGE(Q10,Q12,Q18,Q19,Q25)</f>
        <v>197150.8</v>
      </c>
      <c r="R28" s="1" t="n">
        <f aca="false">AVERAGE(R10,R12,R18,R19,R25)</f>
        <v>90361.6</v>
      </c>
      <c r="S28" s="1" t="n">
        <f aca="false">AVERAGE(S10,S12,S18,S19,S25)</f>
        <v>816993.314990156</v>
      </c>
      <c r="T28" s="1" t="n">
        <f aca="false">AVERAGE(T10,T12,T18,T19,T25)</f>
        <v>779712.549564941</v>
      </c>
      <c r="AQ28" s="1" t="n">
        <f aca="false">AVERAGE(AQ10,AQ12,AQ18,AQ19,AQ25)</f>
        <v>206384.711159098</v>
      </c>
      <c r="AR28" s="1" t="n">
        <f aca="false">AVERAGE(AR10,AR12,AR18,AR19,AR25)</f>
        <v>207134.585813909</v>
      </c>
      <c r="AS28" s="1" t="n">
        <f aca="false">AVERAGE(AS10,AS12,AS18,AS19,AS25)</f>
        <v>206690.596580502</v>
      </c>
      <c r="AT28" s="1" t="n">
        <f aca="false">AVERAGE(AT10,AT12,AT18,AT19,AT25)</f>
        <v>206690.596580502</v>
      </c>
      <c r="CT28" s="2"/>
    </row>
    <row r="29" customFormat="false" ht="12.8" hidden="false" customHeight="false" outlineLevel="0" collapsed="false">
      <c r="A29" s="1" t="s">
        <v>188</v>
      </c>
      <c r="O29" s="1" t="n">
        <f aca="false">AVERAGE(O6,O10,O12,O18,O19,O25,)</f>
        <v>2778639.71428571</v>
      </c>
      <c r="P29" s="1" t="n">
        <f aca="false">AVERAGE(P6,P10,P12,P18,P19,P25,)</f>
        <v>1942574.42857143</v>
      </c>
      <c r="Q29" s="1" t="n">
        <f aca="false">AVERAGE(Q6,Q10,Q12,Q18,Q19,Q25,)</f>
        <v>1702250.57142857</v>
      </c>
      <c r="R29" s="1" t="n">
        <f aca="false">AVERAGE(R6,R10,R12,R18,R19,R25,)</f>
        <v>451258.285714286</v>
      </c>
      <c r="S29" s="1" t="n">
        <f aca="false">AVERAGE(S6,S10,S12,S18,S19,S25,)</f>
        <v>3101819.14213583</v>
      </c>
      <c r="T29" s="1" t="n">
        <f aca="false">AVERAGE(T6,T10,T12,T18,T19,T25,)</f>
        <v>2770876.00254639</v>
      </c>
      <c r="AQ29" s="1" t="n">
        <f aca="false">AVERAGE(AQ6,AQ10,AQ12,AQ18,AQ19,AQ25,)</f>
        <v>1850506.6822565</v>
      </c>
      <c r="AR29" s="1" t="n">
        <f aca="false">AVERAGE(AR6,AR10,AR12,AR18,AR19,AR25,)</f>
        <v>1886559.63272422</v>
      </c>
      <c r="AS29" s="1" t="n">
        <f aca="false">AVERAGE(AS6,AS10,AS12,AS18,AS19,AS25,)</f>
        <v>1876435.96898607</v>
      </c>
      <c r="AT29" s="1" t="n">
        <f aca="false">AVERAGE(AT6,AT10,AT12,AT18,AT19,AT25,)</f>
        <v>1876435.96898607</v>
      </c>
      <c r="CT29" s="2"/>
    </row>
    <row r="30" customFormat="false" ht="12.8" hidden="false" customHeight="false" outlineLevel="0" collapsed="false">
      <c r="CT30" s="2"/>
    </row>
    <row r="31" customFormat="false" ht="12.8" hidden="false" customHeight="false" outlineLevel="0" collapsed="false">
      <c r="CT31" s="2"/>
    </row>
    <row r="32" customFormat="false" ht="12.8" hidden="false" customHeight="false" outlineLevel="0" collapsed="false">
      <c r="CT32" s="2"/>
    </row>
    <row r="33" customFormat="false" ht="12.8" hidden="false" customHeight="false" outlineLevel="0" collapsed="false">
      <c r="CT33" s="2"/>
    </row>
    <row r="34" customFormat="false" ht="12.8" hidden="false" customHeight="false" outlineLevel="0" collapsed="false">
      <c r="O34" s="1" t="s">
        <v>189</v>
      </c>
      <c r="CT34" s="2"/>
    </row>
    <row r="35" customFormat="false" ht="12.8" hidden="false" customHeight="false" outlineLevel="0" collapsed="false">
      <c r="CT35" s="2"/>
    </row>
    <row r="36" customFormat="false" ht="12.8" hidden="false" customHeight="false" outlineLevel="0" collapsed="false">
      <c r="CT36" s="2"/>
    </row>
    <row r="37" customFormat="false" ht="12.8" hidden="false" customHeight="false" outlineLevel="0" collapsed="false">
      <c r="CT37" s="2"/>
    </row>
    <row r="38" customFormat="false" ht="12.8" hidden="false" customHeight="false" outlineLevel="0" collapsed="false">
      <c r="CT38" s="2"/>
    </row>
    <row r="39" customFormat="false" ht="12.8" hidden="false" customHeight="false" outlineLevel="0" collapsed="false">
      <c r="A39" s="4" t="s">
        <v>190</v>
      </c>
      <c r="I39" s="2"/>
      <c r="J39" s="2"/>
      <c r="K39" s="2"/>
      <c r="O39" s="1" t="s">
        <v>17</v>
      </c>
      <c r="CT39" s="2"/>
    </row>
    <row r="40" customFormat="false" ht="12.8" hidden="false" customHeight="false" outlineLevel="0" collapsed="false">
      <c r="A40" s="1" t="s">
        <v>160</v>
      </c>
      <c r="I40" s="2"/>
      <c r="J40" s="2"/>
      <c r="K40" s="2"/>
      <c r="O40" s="1" t="s">
        <v>80</v>
      </c>
      <c r="P40" s="1" t="s">
        <v>87</v>
      </c>
      <c r="Q40" s="1" t="s">
        <v>88</v>
      </c>
      <c r="R40" s="2" t="s">
        <v>191</v>
      </c>
      <c r="S40" s="5" t="s">
        <v>90</v>
      </c>
      <c r="T40" s="5" t="s">
        <v>91</v>
      </c>
      <c r="U40" s="5"/>
      <c r="V40" s="5"/>
      <c r="W40" s="5"/>
      <c r="X40" s="5"/>
      <c r="Y40" s="5"/>
      <c r="Z40" s="5"/>
      <c r="AA40" s="5"/>
      <c r="AB40" s="5"/>
      <c r="AC40" s="5"/>
      <c r="AD40" s="5"/>
      <c r="AE40" s="5"/>
      <c r="AF40" s="5"/>
      <c r="AG40" s="5"/>
      <c r="AH40" s="5"/>
      <c r="AI40" s="5"/>
      <c r="AJ40" s="5"/>
      <c r="AK40" s="5"/>
      <c r="AL40" s="5"/>
      <c r="AM40" s="5"/>
      <c r="AN40" s="5"/>
      <c r="AO40" s="5"/>
      <c r="AQ40" s="1" t="s">
        <v>109</v>
      </c>
      <c r="AR40" s="1" t="s">
        <v>110</v>
      </c>
      <c r="AS40" s="1" t="s">
        <v>111</v>
      </c>
      <c r="AT40" s="7" t="s">
        <v>112</v>
      </c>
      <c r="CT40" s="2"/>
    </row>
    <row r="41" customFormat="false" ht="12.8" hidden="false" customHeight="false" outlineLevel="0" collapsed="false">
      <c r="A41" s="1" t="s">
        <v>170</v>
      </c>
      <c r="I41" s="2"/>
      <c r="J41" s="2"/>
      <c r="K41" s="2"/>
      <c r="S41" s="26" t="n">
        <v>6821240</v>
      </c>
      <c r="T41" s="14" t="n">
        <v>6821240</v>
      </c>
      <c r="U41" s="14"/>
      <c r="V41" s="14"/>
      <c r="W41" s="14"/>
      <c r="X41" s="14"/>
      <c r="Y41" s="14"/>
      <c r="Z41" s="14"/>
      <c r="AA41" s="14"/>
      <c r="AB41" s="14"/>
      <c r="AC41" s="14"/>
      <c r="AD41" s="14"/>
      <c r="AE41" s="14"/>
      <c r="AF41" s="14"/>
      <c r="AG41" s="14"/>
      <c r="AH41" s="14"/>
      <c r="AI41" s="14"/>
      <c r="AJ41" s="14"/>
      <c r="AK41" s="14"/>
      <c r="AL41" s="14"/>
      <c r="AM41" s="14"/>
      <c r="AN41" s="14"/>
      <c r="AO41" s="14"/>
      <c r="AP41" s="14"/>
      <c r="AQ41" s="26" t="n">
        <v>2543520</v>
      </c>
      <c r="AR41" s="14" t="n">
        <v>5696458</v>
      </c>
      <c r="AT41" s="1" t="n">
        <v>5229755</v>
      </c>
      <c r="CT41" s="2"/>
    </row>
    <row r="42" customFormat="false" ht="12.8" hidden="false" customHeight="false" outlineLevel="0" collapsed="false">
      <c r="A42" s="1" t="s">
        <v>171</v>
      </c>
      <c r="H42" s="19"/>
      <c r="I42" s="2"/>
      <c r="O42" s="1" t="n">
        <v>14700000</v>
      </c>
      <c r="P42" s="1" t="n">
        <v>11739000</v>
      </c>
      <c r="Q42" s="1" t="n">
        <v>10720000</v>
      </c>
      <c r="R42" s="1" t="n">
        <v>2700000</v>
      </c>
      <c r="S42" s="26" t="n">
        <v>14700187.95</v>
      </c>
      <c r="T42" s="26" t="n">
        <v>14700187.95</v>
      </c>
      <c r="U42" s="26"/>
      <c r="V42" s="15" t="n">
        <v>2654162.96</v>
      </c>
      <c r="W42" s="15" t="n">
        <v>11656273.66</v>
      </c>
      <c r="X42" s="26"/>
      <c r="Y42" s="26"/>
      <c r="Z42" s="26"/>
      <c r="AA42" s="26"/>
      <c r="AB42" s="26"/>
      <c r="AC42" s="15" t="n">
        <v>2656123.79</v>
      </c>
      <c r="AD42" s="15" t="n">
        <v>12003879.11</v>
      </c>
      <c r="AE42" s="26"/>
      <c r="AF42" s="26"/>
      <c r="AG42" s="26"/>
      <c r="AH42" s="26"/>
      <c r="AI42" s="26"/>
      <c r="AJ42" s="15" t="n">
        <v>2288518.85</v>
      </c>
      <c r="AK42" s="15" t="n">
        <v>11211819.04</v>
      </c>
      <c r="AL42" s="15" t="n">
        <v>2654221.62</v>
      </c>
      <c r="AM42" s="15" t="n">
        <v>11656404.11</v>
      </c>
      <c r="AN42" s="26"/>
      <c r="AO42" s="26"/>
      <c r="AP42" s="2"/>
      <c r="AQ42" s="26" t="n">
        <v>11794666.86</v>
      </c>
      <c r="AR42" s="26" t="n">
        <v>12165164.94</v>
      </c>
      <c r="AS42" s="26" t="n">
        <v>12101597.82</v>
      </c>
      <c r="AT42" s="26" t="n">
        <v>12101597.82</v>
      </c>
      <c r="AW42" s="19" t="n">
        <v>11788468.56</v>
      </c>
      <c r="AZ42" s="19" t="n">
        <v>11739390</v>
      </c>
      <c r="BC42" s="20" t="n">
        <v>10179404.06</v>
      </c>
      <c r="BD42" s="19" t="n">
        <v>11161382.41</v>
      </c>
      <c r="BE42" s="19" t="n">
        <v>12031417</v>
      </c>
      <c r="BF42" s="19" t="n">
        <v>12030745.61</v>
      </c>
      <c r="BH42" s="14" t="n">
        <v>12256991.9</v>
      </c>
      <c r="BP42" s="19" t="n">
        <v>11386625.26</v>
      </c>
      <c r="BQ42" s="19" t="n">
        <v>11012013.33</v>
      </c>
      <c r="BR42" s="19" t="n">
        <v>11233638.65</v>
      </c>
      <c r="BS42" s="19" t="n">
        <v>11002561.74</v>
      </c>
      <c r="CB42" s="19" t="n">
        <v>10960921.58</v>
      </c>
      <c r="CC42" s="19" t="n">
        <v>10690644.08</v>
      </c>
      <c r="CG42" s="19" t="n">
        <v>11397767.55</v>
      </c>
      <c r="CH42" s="19" t="n">
        <v>10891178.68</v>
      </c>
      <c r="CI42" s="19"/>
      <c r="CN42" s="19" t="n">
        <v>12380815.48</v>
      </c>
      <c r="CO42" s="19" t="n">
        <v>12380815.48</v>
      </c>
      <c r="CQ42" s="21" t="n">
        <v>13608304.15</v>
      </c>
      <c r="CR42" s="19" t="n">
        <v>13681569.6</v>
      </c>
      <c r="CT42" s="2"/>
      <c r="CV42" s="19" t="n">
        <v>13120249.41</v>
      </c>
      <c r="CW42" s="19" t="n">
        <v>10268997.17</v>
      </c>
      <c r="CX42" s="19" t="n">
        <v>12658739.93</v>
      </c>
      <c r="CY42" s="19" t="n">
        <v>10248225.04</v>
      </c>
      <c r="DF42" s="19"/>
      <c r="DG42" s="19"/>
      <c r="DH42" s="19"/>
      <c r="DI42" s="19"/>
      <c r="DJ42" s="19"/>
      <c r="DK42" s="19"/>
      <c r="DL42" s="19"/>
      <c r="DM42" s="19"/>
      <c r="DN42" s="19"/>
      <c r="DO42" s="19"/>
      <c r="DQ42" s="19"/>
      <c r="DR42" s="19"/>
      <c r="DS42" s="19"/>
      <c r="DT42" s="19"/>
      <c r="DU42" s="19"/>
    </row>
    <row r="43" customFormat="false" ht="12.8" hidden="false" customHeight="false" outlineLevel="0" collapsed="false">
      <c r="A43" s="1" t="s">
        <v>172</v>
      </c>
      <c r="H43" s="19"/>
      <c r="I43" s="2"/>
      <c r="S43" s="26"/>
      <c r="T43" s="26"/>
      <c r="U43" s="26"/>
      <c r="V43" s="26"/>
      <c r="W43" s="26"/>
      <c r="X43" s="26"/>
      <c r="Y43" s="26"/>
      <c r="Z43" s="26"/>
      <c r="AA43" s="26"/>
      <c r="AB43" s="26"/>
      <c r="AC43" s="26"/>
      <c r="AD43" s="26"/>
      <c r="AE43" s="26"/>
      <c r="AF43" s="26"/>
      <c r="AG43" s="26"/>
      <c r="AH43" s="26"/>
      <c r="AI43" s="26"/>
      <c r="AJ43" s="26"/>
      <c r="AK43" s="26"/>
      <c r="AL43" s="26"/>
      <c r="AM43" s="26"/>
      <c r="AN43" s="26"/>
      <c r="AO43" s="26"/>
      <c r="AP43" s="2"/>
      <c r="AQ43" s="26"/>
      <c r="AR43" s="26"/>
      <c r="AS43" s="26"/>
      <c r="AT43" s="26"/>
      <c r="AW43" s="19"/>
      <c r="AZ43" s="19"/>
      <c r="BC43" s="20"/>
      <c r="BD43" s="19"/>
      <c r="BE43" s="19"/>
      <c r="BF43" s="19"/>
      <c r="BH43" s="14"/>
      <c r="BP43" s="19"/>
      <c r="BQ43" s="19"/>
      <c r="BR43" s="19"/>
      <c r="BS43" s="19"/>
      <c r="CB43" s="19"/>
      <c r="CC43" s="19"/>
      <c r="CG43" s="19"/>
      <c r="CH43" s="19"/>
      <c r="CI43" s="19"/>
      <c r="CN43" s="19"/>
      <c r="CO43" s="19"/>
      <c r="CQ43" s="21"/>
      <c r="CR43" s="19"/>
      <c r="CT43" s="2"/>
      <c r="CV43" s="19"/>
      <c r="CW43" s="19"/>
      <c r="CX43" s="19"/>
      <c r="CY43" s="19"/>
      <c r="DF43" s="19"/>
      <c r="DG43" s="19"/>
      <c r="DH43" s="19"/>
      <c r="DI43" s="19"/>
      <c r="DJ43" s="19"/>
      <c r="DK43" s="19"/>
      <c r="DL43" s="19"/>
      <c r="DM43" s="19"/>
      <c r="DN43" s="19"/>
      <c r="DO43" s="19"/>
      <c r="DQ43" s="19"/>
      <c r="DR43" s="19"/>
      <c r="DS43" s="19"/>
      <c r="DT43" s="19"/>
      <c r="DU43" s="19"/>
    </row>
    <row r="44" customFormat="false" ht="12.8" hidden="false" customHeight="false" outlineLevel="0" collapsed="false">
      <c r="H44" s="2"/>
      <c r="CT44" s="2"/>
    </row>
    <row r="45" customFormat="false" ht="12.8" hidden="false" customHeight="false" outlineLevel="0" collapsed="false">
      <c r="A45" s="1" t="s">
        <v>192</v>
      </c>
      <c r="H45" s="2"/>
      <c r="CT45" s="2"/>
    </row>
    <row r="46" customFormat="false" ht="12.8" hidden="false" customHeight="false" outlineLevel="0" collapsed="false">
      <c r="A46" s="1" t="s">
        <v>174</v>
      </c>
      <c r="I46" s="19"/>
      <c r="O46" s="1" t="n">
        <v>46</v>
      </c>
      <c r="P46" s="1" t="n">
        <v>66</v>
      </c>
      <c r="Q46" s="1" t="n">
        <v>47</v>
      </c>
      <c r="R46" s="1" t="n">
        <v>66</v>
      </c>
      <c r="S46" s="27" t="n">
        <v>45.56</v>
      </c>
      <c r="T46" s="20" t="n">
        <v>45.56</v>
      </c>
      <c r="U46" s="20"/>
      <c r="V46" s="28" t="n">
        <v>71.14</v>
      </c>
      <c r="W46" s="28" t="n">
        <v>66.72</v>
      </c>
      <c r="X46" s="28" t="n">
        <v>66.72</v>
      </c>
      <c r="Y46" s="28" t="n">
        <v>66.94</v>
      </c>
      <c r="Z46" s="28" t="n">
        <v>66.94</v>
      </c>
      <c r="AA46" s="28" t="n">
        <v>117.9</v>
      </c>
      <c r="AB46" s="28" t="n">
        <v>117.9</v>
      </c>
      <c r="AC46" s="28" t="n">
        <v>73.18</v>
      </c>
      <c r="AD46" s="28" t="n">
        <v>72.02</v>
      </c>
      <c r="AE46" s="28" t="n">
        <v>72.02</v>
      </c>
      <c r="AF46" s="28" t="n">
        <v>72.02</v>
      </c>
      <c r="AG46" s="28" t="n">
        <v>72.02</v>
      </c>
      <c r="AH46" s="28" t="n">
        <v>106.02</v>
      </c>
      <c r="AI46" s="28" t="n">
        <v>106.02</v>
      </c>
      <c r="AJ46" s="28" t="n">
        <v>71.86</v>
      </c>
      <c r="AK46" s="28" t="n">
        <v>69.42</v>
      </c>
      <c r="AL46" s="28" t="n">
        <v>68.56</v>
      </c>
      <c r="AM46" s="28" t="n">
        <v>64.5</v>
      </c>
      <c r="AN46" s="28"/>
      <c r="AO46" s="28"/>
      <c r="AP46" s="20"/>
      <c r="AQ46" s="27" t="n">
        <v>61.44</v>
      </c>
      <c r="AR46" s="27" t="n">
        <v>265.32</v>
      </c>
      <c r="AS46" s="20" t="n">
        <v>309.4</v>
      </c>
      <c r="AT46" s="20" t="n">
        <v>309.4</v>
      </c>
      <c r="AV46" s="20" t="n">
        <v>61.44</v>
      </c>
      <c r="AW46" s="20" t="n">
        <v>61.44</v>
      </c>
      <c r="AX46" s="14" t="n">
        <v>61.44</v>
      </c>
      <c r="AY46" s="20" t="n">
        <v>61.44</v>
      </c>
      <c r="AZ46" s="27" t="n">
        <v>61.44</v>
      </c>
      <c r="BA46" s="27" t="n">
        <v>61.44</v>
      </c>
      <c r="BB46" s="27"/>
      <c r="BC46" s="26" t="n">
        <v>60.56</v>
      </c>
      <c r="BD46" s="26" t="n">
        <v>60.44</v>
      </c>
      <c r="BE46" s="26" t="n">
        <v>60.84</v>
      </c>
      <c r="BF46" s="26" t="n">
        <v>61.34</v>
      </c>
      <c r="BG46" s="27"/>
      <c r="BH46" s="27" t="n">
        <v>101.44</v>
      </c>
      <c r="BI46" s="20" t="n">
        <v>47</v>
      </c>
      <c r="BJ46" s="20" t="n">
        <v>47</v>
      </c>
      <c r="BK46" s="20" t="n">
        <v>47</v>
      </c>
      <c r="BL46" s="14" t="n">
        <v>47</v>
      </c>
      <c r="BM46" s="20" t="n">
        <v>47</v>
      </c>
      <c r="BN46" s="27" t="n">
        <v>47</v>
      </c>
      <c r="BO46" s="14" t="n">
        <v>47.5</v>
      </c>
      <c r="BP46" s="27" t="n">
        <v>47</v>
      </c>
      <c r="BQ46" s="14" t="n">
        <v>47</v>
      </c>
      <c r="BR46" s="26" t="n">
        <v>47</v>
      </c>
      <c r="BS46" s="26" t="n">
        <v>47</v>
      </c>
      <c r="BT46" s="20"/>
      <c r="BU46" s="27" t="n">
        <v>49.16</v>
      </c>
      <c r="BV46" s="14" t="n">
        <v>46.9</v>
      </c>
      <c r="BW46" s="29" t="n">
        <v>49.16</v>
      </c>
      <c r="BX46" s="14" t="n">
        <v>46.9</v>
      </c>
      <c r="BY46" s="27" t="n">
        <v>46.9</v>
      </c>
      <c r="BZ46" s="20" t="n">
        <v>49.16</v>
      </c>
      <c r="CA46" s="14" t="n">
        <v>47.32</v>
      </c>
      <c r="CB46" s="20" t="n">
        <v>49.16</v>
      </c>
      <c r="CC46" s="14" t="n">
        <v>46.86</v>
      </c>
      <c r="CD46" s="14" t="n">
        <v>46.86</v>
      </c>
      <c r="CE46" s="20"/>
      <c r="CF46" s="20"/>
      <c r="CG46" s="27" t="n">
        <v>47</v>
      </c>
      <c r="CH46" s="14" t="n">
        <v>48.04</v>
      </c>
      <c r="CI46" s="14"/>
      <c r="CJ46" s="27"/>
      <c r="CK46" s="20" t="n">
        <v>48.9</v>
      </c>
      <c r="CL46" s="26" t="n">
        <v>46.8</v>
      </c>
      <c r="CM46" s="20"/>
      <c r="CN46" s="27" t="n">
        <v>51.84</v>
      </c>
      <c r="CO46" s="14" t="n">
        <v>51.84</v>
      </c>
      <c r="CP46" s="27"/>
      <c r="CQ46" s="20" t="n">
        <v>55.3</v>
      </c>
      <c r="CR46" s="14" t="n">
        <v>56.18</v>
      </c>
      <c r="CS46" s="27"/>
      <c r="CT46" s="26" t="n">
        <v>64.98</v>
      </c>
      <c r="CU46" s="27" t="n">
        <v>62.56</v>
      </c>
      <c r="CV46" s="20" t="n">
        <v>62.22</v>
      </c>
      <c r="CW46" s="26" t="n">
        <v>60.56</v>
      </c>
      <c r="CX46" s="20" t="n">
        <v>62.26</v>
      </c>
      <c r="CY46" s="20" t="n">
        <v>60.56</v>
      </c>
      <c r="CZ46" s="20"/>
      <c r="DA46" s="26" t="n">
        <v>67.14</v>
      </c>
      <c r="DB46" s="26" t="n">
        <v>61.16</v>
      </c>
      <c r="DD46" s="20"/>
      <c r="DF46" s="19"/>
      <c r="DG46" s="19"/>
      <c r="DH46" s="19"/>
      <c r="DI46" s="19"/>
      <c r="DJ46" s="19"/>
      <c r="DK46" s="19"/>
      <c r="DL46" s="19"/>
      <c r="DM46" s="19"/>
      <c r="DN46" s="19"/>
      <c r="DO46" s="19"/>
      <c r="DQ46" s="19"/>
      <c r="DR46" s="19"/>
      <c r="DS46" s="19"/>
      <c r="DT46" s="19"/>
      <c r="DU46" s="19"/>
    </row>
    <row r="47" customFormat="false" ht="12.8" hidden="false" customHeight="false" outlineLevel="0" collapsed="false">
      <c r="A47" s="1" t="s">
        <v>175</v>
      </c>
      <c r="J47" s="19"/>
      <c r="K47" s="19"/>
      <c r="S47" s="19"/>
      <c r="T47" s="19"/>
      <c r="U47" s="19"/>
      <c r="V47" s="19"/>
      <c r="W47" s="19"/>
      <c r="X47" s="19"/>
      <c r="Y47" s="19"/>
      <c r="Z47" s="19"/>
      <c r="AA47" s="19"/>
      <c r="AB47" s="19"/>
      <c r="AC47" s="19"/>
      <c r="AD47" s="19"/>
      <c r="AE47" s="19"/>
      <c r="AF47" s="19"/>
      <c r="AG47" s="19"/>
      <c r="AH47" s="19"/>
      <c r="AI47" s="19"/>
      <c r="AJ47" s="19"/>
      <c r="AK47" s="19"/>
      <c r="AL47" s="19"/>
      <c r="AM47" s="19"/>
      <c r="AN47" s="19"/>
      <c r="AO47" s="19"/>
      <c r="AP47" s="19"/>
      <c r="AQ47" s="27"/>
      <c r="AR47" s="27"/>
      <c r="AS47" s="20"/>
      <c r="AT47" s="20"/>
      <c r="AV47" s="2"/>
      <c r="AW47" s="2"/>
      <c r="AX47" s="2"/>
      <c r="AY47" s="2"/>
      <c r="AZ47" s="2"/>
      <c r="BH47" s="2"/>
      <c r="BI47" s="2"/>
      <c r="BJ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c r="CU47" s="2"/>
      <c r="CV47" s="2"/>
      <c r="CW47" s="2"/>
      <c r="CX47" s="2"/>
      <c r="CY47" s="2"/>
      <c r="CZ47" s="2"/>
      <c r="DB47" s="2"/>
      <c r="DD47" s="2"/>
      <c r="DF47" s="2"/>
      <c r="DG47" s="2"/>
      <c r="DH47" s="2"/>
      <c r="DI47" s="2"/>
      <c r="DJ47" s="2"/>
      <c r="DK47" s="2"/>
      <c r="DL47" s="2"/>
      <c r="DM47" s="2"/>
      <c r="DN47" s="2"/>
      <c r="DO47" s="2"/>
      <c r="DQ47" s="2"/>
      <c r="DR47" s="2"/>
      <c r="DS47" s="2"/>
      <c r="DT47" s="2"/>
      <c r="DU47" s="2"/>
    </row>
    <row r="48" customFormat="false" ht="12.8" hidden="false" customHeight="false" outlineLevel="0" collapsed="false">
      <c r="A48" s="1" t="s">
        <v>176</v>
      </c>
      <c r="J48" s="19"/>
      <c r="K48" s="19"/>
      <c r="O48" s="1" t="n">
        <v>348000</v>
      </c>
      <c r="P48" s="1" t="n">
        <v>122000</v>
      </c>
      <c r="Q48" s="1" t="n">
        <v>84000</v>
      </c>
      <c r="R48" s="1" t="n">
        <v>11000</v>
      </c>
      <c r="S48" s="21" t="n">
        <v>348020.34</v>
      </c>
      <c r="T48" s="30" t="n">
        <v>348020.34</v>
      </c>
      <c r="U48" s="30"/>
      <c r="V48" s="19" t="n">
        <v>11251.46</v>
      </c>
      <c r="W48" s="19" t="n">
        <v>102423.3</v>
      </c>
      <c r="X48" s="19" t="n">
        <v>102423.3</v>
      </c>
      <c r="Y48" s="19" t="n">
        <v>102721.78</v>
      </c>
      <c r="Z48" s="19" t="n">
        <v>102721.78</v>
      </c>
      <c r="AA48" s="19" t="n">
        <v>482021.5</v>
      </c>
      <c r="AB48" s="19" t="n">
        <v>482021.5</v>
      </c>
      <c r="AC48" s="19" t="n">
        <v>11824</v>
      </c>
      <c r="AD48" s="19" t="n">
        <v>83188.4</v>
      </c>
      <c r="AE48" s="19" t="n">
        <v>83188.4</v>
      </c>
      <c r="AF48" s="19" t="n">
        <v>94277.64</v>
      </c>
      <c r="AG48" s="19" t="n">
        <v>94277.64</v>
      </c>
      <c r="AH48" s="19" t="n">
        <v>264039.92</v>
      </c>
      <c r="AI48" s="19" t="n">
        <v>264039.92</v>
      </c>
      <c r="AJ48" s="19" t="n">
        <v>11851.5</v>
      </c>
      <c r="AK48" s="19" t="n">
        <v>97731.44</v>
      </c>
      <c r="AL48" s="19" t="n">
        <v>11256.6</v>
      </c>
      <c r="AM48" s="19" t="n">
        <v>102434.46</v>
      </c>
      <c r="AN48" s="19"/>
      <c r="AO48" s="19"/>
      <c r="AP48" s="21"/>
      <c r="AQ48" s="30" t="n">
        <v>112136.52</v>
      </c>
      <c r="AR48" s="30" t="n">
        <v>113887</v>
      </c>
      <c r="AS48" s="21" t="n">
        <v>114973.56</v>
      </c>
      <c r="AT48" s="21" t="n">
        <v>114973.56</v>
      </c>
      <c r="AV48" s="27" t="n">
        <v>112136.52</v>
      </c>
      <c r="AW48" s="27" t="n">
        <v>112136.52</v>
      </c>
      <c r="AX48" s="14" t="n">
        <v>112136.52</v>
      </c>
      <c r="AY48" s="20" t="n">
        <v>113103.68</v>
      </c>
      <c r="AZ48" s="20" t="n">
        <v>111413.12</v>
      </c>
      <c r="BA48" s="20" t="n">
        <v>111413.12</v>
      </c>
      <c r="BB48" s="20"/>
      <c r="BC48" s="26" t="n">
        <v>98151.3</v>
      </c>
      <c r="BD48" s="26" t="n">
        <v>90571.8</v>
      </c>
      <c r="BE48" s="26" t="n">
        <v>113181.58</v>
      </c>
      <c r="BF48" s="26" t="n">
        <v>113100.5</v>
      </c>
      <c r="BG48" s="20"/>
      <c r="BH48" s="30" t="n">
        <v>92660.96</v>
      </c>
      <c r="BI48" s="27" t="n">
        <v>90970.66</v>
      </c>
      <c r="BJ48" s="14" t="n">
        <v>90959.18</v>
      </c>
      <c r="BK48" s="27" t="n">
        <v>90970.66</v>
      </c>
      <c r="BL48" s="14" t="n">
        <v>90959.18</v>
      </c>
      <c r="BM48" s="27" t="n">
        <v>90959.18</v>
      </c>
      <c r="BN48" s="20" t="n">
        <v>90970.66</v>
      </c>
      <c r="BO48" s="14" t="n">
        <v>90866.48</v>
      </c>
      <c r="BP48" s="20" t="n">
        <v>90970.66</v>
      </c>
      <c r="BQ48" s="14" t="n">
        <v>90880.24</v>
      </c>
      <c r="BR48" s="26" t="n">
        <v>90970.66</v>
      </c>
      <c r="BS48" s="26" t="n">
        <v>90880.24</v>
      </c>
      <c r="BT48" s="27"/>
      <c r="BU48" s="20" t="n">
        <v>82527.4</v>
      </c>
      <c r="BV48" s="14" t="n">
        <v>82546.54</v>
      </c>
      <c r="BW48" s="31" t="n">
        <v>82527.42</v>
      </c>
      <c r="BX48" s="14" t="n">
        <v>82546.54</v>
      </c>
      <c r="BY48" s="20" t="n">
        <v>82546.54</v>
      </c>
      <c r="BZ48" s="27" t="n">
        <v>82527.4</v>
      </c>
      <c r="CA48" s="14" t="n">
        <v>82546.18</v>
      </c>
      <c r="CB48" s="27" t="n">
        <v>82527.4</v>
      </c>
      <c r="CC48" s="14" t="n">
        <v>82556.46</v>
      </c>
      <c r="CD48" s="14" t="n">
        <v>82556.46</v>
      </c>
      <c r="CE48" s="21"/>
      <c r="CF48" s="21"/>
      <c r="CG48" s="20" t="n">
        <v>90984.58</v>
      </c>
      <c r="CH48" s="14" t="n">
        <v>90877.86</v>
      </c>
      <c r="CI48" s="14"/>
      <c r="CJ48" s="20"/>
      <c r="CK48" s="27" t="n">
        <v>82527.4</v>
      </c>
      <c r="CL48" s="26" t="n">
        <v>82556.42</v>
      </c>
      <c r="CM48" s="21"/>
      <c r="CN48" s="20" t="n">
        <v>94031.76</v>
      </c>
      <c r="CO48" s="14" t="n">
        <v>94031.76</v>
      </c>
      <c r="CP48" s="30"/>
      <c r="CQ48" s="27" t="n">
        <v>104859.46</v>
      </c>
      <c r="CR48" s="14" t="n">
        <v>102668.34</v>
      </c>
      <c r="CS48" s="30"/>
      <c r="CT48" s="26" t="n">
        <v>144840.94</v>
      </c>
      <c r="CU48" s="20" t="n">
        <v>121540.86</v>
      </c>
      <c r="CV48" s="20" t="n">
        <v>121190.9</v>
      </c>
      <c r="CW48" s="26" t="n">
        <v>98151.3</v>
      </c>
      <c r="CX48" s="20" t="n">
        <v>125343.64</v>
      </c>
      <c r="CY48" s="20" t="n">
        <v>98151.3</v>
      </c>
      <c r="CZ48" s="21"/>
      <c r="DA48" s="26" t="n">
        <v>205182.18</v>
      </c>
      <c r="DB48" s="26" t="n">
        <v>110683.06</v>
      </c>
      <c r="DD48" s="21"/>
      <c r="DF48" s="19"/>
      <c r="DG48" s="19"/>
      <c r="DH48" s="19"/>
      <c r="DI48" s="19"/>
      <c r="DJ48" s="19"/>
      <c r="DK48" s="19"/>
      <c r="DL48" s="19"/>
      <c r="DM48" s="19"/>
      <c r="DN48" s="19"/>
      <c r="DO48" s="19"/>
      <c r="DQ48" s="19"/>
      <c r="DR48" s="19"/>
      <c r="DS48" s="19"/>
      <c r="DT48" s="19"/>
      <c r="DU48" s="19"/>
    </row>
    <row r="49" customFormat="false" ht="12.8" hidden="false" customHeight="false" outlineLevel="0" collapsed="false">
      <c r="J49" s="19"/>
      <c r="K49" s="19"/>
      <c r="S49" s="21"/>
      <c r="T49" s="30"/>
      <c r="U49" s="30"/>
      <c r="V49" s="19"/>
      <c r="W49" s="19"/>
      <c r="X49" s="19"/>
      <c r="Y49" s="19"/>
      <c r="Z49" s="19"/>
      <c r="AA49" s="19"/>
      <c r="AB49" s="19"/>
      <c r="AC49" s="19"/>
      <c r="AD49" s="19"/>
      <c r="AE49" s="19"/>
      <c r="AF49" s="19"/>
      <c r="AG49" s="19"/>
      <c r="AH49" s="19"/>
      <c r="AI49" s="19"/>
      <c r="AJ49" s="19"/>
      <c r="AK49" s="19"/>
      <c r="AL49" s="19"/>
      <c r="AM49" s="19"/>
      <c r="AN49" s="19"/>
      <c r="AO49" s="19"/>
      <c r="AP49" s="21"/>
      <c r="AQ49" s="30"/>
      <c r="AR49" s="30"/>
      <c r="AS49" s="21"/>
      <c r="AT49" s="21"/>
      <c r="AV49" s="27"/>
      <c r="AW49" s="27"/>
      <c r="AX49" s="14"/>
      <c r="AY49" s="20"/>
      <c r="AZ49" s="20"/>
      <c r="BA49" s="20"/>
      <c r="BB49" s="20"/>
      <c r="BC49" s="26"/>
      <c r="BD49" s="26"/>
      <c r="BE49" s="26"/>
      <c r="BF49" s="26"/>
      <c r="BG49" s="20"/>
      <c r="BH49" s="30"/>
      <c r="BI49" s="27"/>
      <c r="BJ49" s="14"/>
      <c r="BK49" s="27"/>
      <c r="BL49" s="14"/>
      <c r="BM49" s="27"/>
      <c r="BN49" s="20"/>
      <c r="BO49" s="14"/>
      <c r="BP49" s="20"/>
      <c r="BQ49" s="14"/>
      <c r="BR49" s="26"/>
      <c r="BS49" s="26"/>
      <c r="BT49" s="27"/>
      <c r="BU49" s="20"/>
      <c r="BV49" s="14"/>
      <c r="BW49" s="31"/>
      <c r="BX49" s="14"/>
      <c r="BY49" s="20"/>
      <c r="BZ49" s="27"/>
      <c r="CA49" s="14"/>
      <c r="CB49" s="27"/>
      <c r="CC49" s="14"/>
      <c r="CD49" s="14"/>
      <c r="CE49" s="21"/>
      <c r="CF49" s="21"/>
      <c r="CG49" s="20"/>
      <c r="CH49" s="14"/>
      <c r="CI49" s="14"/>
      <c r="CJ49" s="20"/>
      <c r="CK49" s="27"/>
      <c r="CL49" s="26"/>
      <c r="CM49" s="21"/>
      <c r="CN49" s="20"/>
      <c r="CO49" s="14"/>
      <c r="CP49" s="30"/>
      <c r="CQ49" s="27"/>
      <c r="CR49" s="14"/>
      <c r="CS49" s="30"/>
      <c r="CT49" s="26"/>
      <c r="CU49" s="20"/>
      <c r="CV49" s="20"/>
      <c r="CW49" s="26"/>
      <c r="CX49" s="20"/>
      <c r="CY49" s="20"/>
      <c r="CZ49" s="21"/>
      <c r="DA49" s="26"/>
      <c r="DB49" s="26"/>
      <c r="DD49" s="21"/>
      <c r="DF49" s="19"/>
      <c r="DG49" s="19"/>
      <c r="DH49" s="19"/>
      <c r="DI49" s="19"/>
      <c r="DJ49" s="19"/>
      <c r="DK49" s="19"/>
      <c r="DL49" s="19"/>
      <c r="DM49" s="19"/>
      <c r="DN49" s="19"/>
      <c r="DO49" s="19"/>
      <c r="DQ49" s="19"/>
      <c r="DR49" s="19"/>
      <c r="DS49" s="19"/>
      <c r="DT49" s="19"/>
      <c r="DU49" s="19"/>
    </row>
    <row r="50" customFormat="false" ht="12.8" hidden="false" customHeight="false" outlineLevel="0" collapsed="false">
      <c r="A50" s="1" t="s">
        <v>177</v>
      </c>
      <c r="J50" s="19"/>
      <c r="K50" s="19"/>
      <c r="S50" s="21"/>
      <c r="T50" s="30"/>
      <c r="U50" s="30"/>
      <c r="V50" s="19"/>
      <c r="W50" s="28" t="n">
        <v>55868.72</v>
      </c>
      <c r="X50" s="28" t="n">
        <v>273.94</v>
      </c>
      <c r="Y50" s="28" t="n">
        <v>57805.14</v>
      </c>
      <c r="Z50" s="28" t="n">
        <v>271.76</v>
      </c>
      <c r="AA50" s="28" t="n">
        <v>1201866.54</v>
      </c>
      <c r="AB50" s="28" t="n">
        <v>7019.62</v>
      </c>
      <c r="AC50" s="19"/>
      <c r="AD50" s="28" t="n">
        <v>56224.36</v>
      </c>
      <c r="AE50" s="28" t="n">
        <v>93.48</v>
      </c>
      <c r="AF50" s="28" t="n">
        <v>61492.54</v>
      </c>
      <c r="AG50" s="28" t="n">
        <v>93.48</v>
      </c>
      <c r="AH50" s="28" t="n">
        <v>679793.24</v>
      </c>
      <c r="AI50" s="28" t="n">
        <v>5997.58</v>
      </c>
      <c r="AJ50" s="2"/>
      <c r="AK50" s="28" t="n">
        <v>52490.54</v>
      </c>
      <c r="AL50" s="19"/>
      <c r="AM50" s="28" t="n">
        <v>54943.08</v>
      </c>
      <c r="AN50" s="19"/>
      <c r="AO50" s="19"/>
      <c r="AP50" s="21"/>
      <c r="AQ50" s="30"/>
      <c r="AR50" s="30"/>
      <c r="AS50" s="21"/>
      <c r="AT50" s="21"/>
      <c r="AV50" s="28" t="n">
        <v>1780.36</v>
      </c>
      <c r="AW50" s="28" t="n">
        <v>64724.76</v>
      </c>
      <c r="AX50" s="14"/>
      <c r="AY50" s="20"/>
      <c r="AZ50" s="20"/>
      <c r="BA50" s="20"/>
      <c r="BB50" s="20"/>
      <c r="BC50" s="26"/>
      <c r="BD50" s="26"/>
      <c r="BE50" s="26"/>
      <c r="BF50" s="26"/>
      <c r="BG50" s="20"/>
      <c r="BH50" s="30"/>
      <c r="BI50" s="27"/>
      <c r="BJ50" s="14"/>
      <c r="BK50" s="27"/>
      <c r="BL50" s="14"/>
      <c r="BM50" s="27"/>
      <c r="BN50" s="20"/>
      <c r="BO50" s="14"/>
      <c r="BP50" s="20"/>
      <c r="BQ50" s="14"/>
      <c r="BR50" s="26"/>
      <c r="BS50" s="26"/>
      <c r="BT50" s="27"/>
      <c r="BU50" s="20"/>
      <c r="BV50" s="14"/>
      <c r="BW50" s="31"/>
      <c r="BX50" s="14"/>
      <c r="BY50" s="20"/>
      <c r="BZ50" s="27"/>
      <c r="CA50" s="14"/>
      <c r="CB50" s="28" t="n">
        <v>44876.16</v>
      </c>
      <c r="CC50" s="28" t="n">
        <v>44688.26</v>
      </c>
      <c r="CD50" s="28" t="n">
        <v>1411.28</v>
      </c>
      <c r="CE50" s="21"/>
      <c r="CF50" s="21"/>
      <c r="CG50" s="28" t="n">
        <v>52128.18</v>
      </c>
      <c r="CH50" s="28" t="n">
        <v>52187.04</v>
      </c>
      <c r="CI50" s="14"/>
      <c r="CJ50" s="20"/>
      <c r="CK50" s="27"/>
      <c r="CL50" s="26"/>
      <c r="CM50" s="21"/>
      <c r="CN50" s="20"/>
      <c r="CO50" s="14"/>
      <c r="CP50" s="30"/>
      <c r="CQ50" s="27"/>
      <c r="CR50" s="14"/>
      <c r="CS50" s="30"/>
      <c r="CT50" s="26"/>
      <c r="CU50" s="20"/>
      <c r="CV50" s="20"/>
      <c r="CW50" s="28" t="n">
        <v>61339.12</v>
      </c>
      <c r="CX50" s="20"/>
      <c r="CY50" s="20"/>
      <c r="CZ50" s="21"/>
      <c r="DA50" s="26"/>
      <c r="DB50" s="26"/>
      <c r="DD50" s="21"/>
      <c r="DF50" s="19"/>
      <c r="DG50" s="19"/>
      <c r="DH50" s="19"/>
      <c r="DI50" s="19"/>
      <c r="DJ50" s="19"/>
      <c r="DK50" s="19"/>
      <c r="DL50" s="19"/>
      <c r="DM50" s="19"/>
      <c r="DN50" s="19"/>
      <c r="DO50" s="19"/>
      <c r="DQ50" s="19"/>
      <c r="DR50" s="19"/>
      <c r="DS50" s="19"/>
      <c r="DT50" s="19"/>
      <c r="DU50" s="19"/>
    </row>
    <row r="51" customFormat="false" ht="12.8" hidden="false" customHeight="false" outlineLevel="0" collapsed="false">
      <c r="J51" s="19"/>
      <c r="K51" s="19"/>
    </row>
    <row r="52" customFormat="false" ht="12.8" hidden="false" customHeight="false" outlineLevel="0" collapsed="false">
      <c r="A52" s="1" t="s">
        <v>178</v>
      </c>
    </row>
    <row r="53" customFormat="false" ht="12.8" hidden="false" customHeight="false" outlineLevel="0" collapsed="false">
      <c r="A53" s="1" t="s">
        <v>179</v>
      </c>
      <c r="W53" s="19" t="n">
        <v>679627.42</v>
      </c>
      <c r="X53" s="19" t="n">
        <v>678567.08</v>
      </c>
      <c r="Y53" s="19" t="n">
        <v>679631.16</v>
      </c>
      <c r="Z53" s="19" t="n">
        <v>678570.56</v>
      </c>
      <c r="AA53" s="19" t="n">
        <v>1009491.26</v>
      </c>
      <c r="AB53" s="19" t="n">
        <v>1093477.58</v>
      </c>
      <c r="AD53" s="19" t="n">
        <v>665841.8</v>
      </c>
      <c r="AE53" s="19" t="n">
        <v>666986.54</v>
      </c>
      <c r="AF53" s="19" t="n">
        <v>665890.92</v>
      </c>
      <c r="AG53" s="19" t="n">
        <v>666898.06</v>
      </c>
      <c r="AH53" s="19" t="n">
        <v>983349.9</v>
      </c>
      <c r="AI53" s="19" t="n">
        <v>1061537.5</v>
      </c>
      <c r="AJ53" s="2"/>
      <c r="AK53" s="19" t="n">
        <v>1102278.48</v>
      </c>
      <c r="AM53" s="19" t="n">
        <v>679574.9</v>
      </c>
      <c r="AV53" s="19" t="n">
        <v>663241.08</v>
      </c>
      <c r="AW53" s="19" t="n">
        <v>663254.56</v>
      </c>
      <c r="AX53" s="28"/>
      <c r="AY53" s="28" t="n">
        <v>663245.68</v>
      </c>
      <c r="AZ53" s="28" t="n">
        <v>663216.76</v>
      </c>
      <c r="BA53" s="19" t="n">
        <v>663216.76</v>
      </c>
      <c r="BB53" s="19"/>
      <c r="BC53" s="27" t="n">
        <v>660993.9</v>
      </c>
      <c r="BD53" s="28" t="n">
        <v>649770.12</v>
      </c>
      <c r="BE53" s="28" t="n">
        <v>663178.46</v>
      </c>
      <c r="BF53" s="28" t="n">
        <v>663089.96</v>
      </c>
      <c r="BG53" s="19"/>
      <c r="BI53" s="19" t="n">
        <v>628142.9</v>
      </c>
      <c r="BJ53" s="19"/>
      <c r="BK53" s="19" t="n">
        <v>628293.4</v>
      </c>
      <c r="BL53" s="19"/>
      <c r="BM53" s="19" t="n">
        <v>628105.68</v>
      </c>
      <c r="BN53" s="28" t="n">
        <v>628142.9</v>
      </c>
      <c r="BO53" s="28"/>
      <c r="BP53" s="28" t="n">
        <v>628142.9</v>
      </c>
      <c r="BQ53" s="19" t="n">
        <v>628650.74</v>
      </c>
      <c r="BR53" s="28" t="n">
        <v>628293.4</v>
      </c>
      <c r="BS53" s="28" t="n">
        <v>628652.5</v>
      </c>
      <c r="BT53" s="19"/>
      <c r="BU53" s="28" t="n">
        <v>628050.6</v>
      </c>
      <c r="BV53" s="28"/>
      <c r="BW53" s="28" t="n">
        <v>627957.48</v>
      </c>
      <c r="BX53" s="28"/>
      <c r="BY53" s="28" t="n">
        <v>627938.04</v>
      </c>
      <c r="BZ53" s="19" t="n">
        <v>628050.6</v>
      </c>
      <c r="CA53" s="19"/>
      <c r="CB53" s="19" t="n">
        <v>628050.6</v>
      </c>
      <c r="CC53" s="19" t="n">
        <v>627891</v>
      </c>
      <c r="CD53" s="19" t="n">
        <v>627889.36</v>
      </c>
      <c r="CG53" s="28" t="n">
        <v>628142.9</v>
      </c>
      <c r="CH53" s="19" t="n">
        <v>628650.74</v>
      </c>
      <c r="CI53" s="19"/>
      <c r="CJ53" s="28"/>
      <c r="CK53" s="19" t="n">
        <v>628050.6</v>
      </c>
      <c r="CL53" s="19" t="n">
        <v>627891.02</v>
      </c>
      <c r="CN53" s="19" t="n">
        <v>628142.9</v>
      </c>
      <c r="CO53" s="28" t="n">
        <v>628142.9</v>
      </c>
      <c r="CQ53" s="19" t="n">
        <v>639195.4</v>
      </c>
      <c r="CR53" s="28" t="n">
        <v>4297524.02</v>
      </c>
      <c r="CT53" s="28" t="n">
        <v>1061093.08</v>
      </c>
      <c r="CU53" s="28" t="n">
        <v>993919.52</v>
      </c>
      <c r="CV53" s="19" t="n">
        <v>996676.32</v>
      </c>
      <c r="CW53" s="19" t="n">
        <v>660993.9</v>
      </c>
      <c r="CX53" s="19" t="n">
        <v>993889.82</v>
      </c>
      <c r="CY53" s="19" t="n">
        <v>660993.9</v>
      </c>
      <c r="DB53" s="32" t="n">
        <v>663216.34</v>
      </c>
    </row>
    <row r="54" customFormat="false" ht="12.8" hidden="false" customHeight="false" outlineLevel="0" collapsed="false">
      <c r="A54" s="1" t="s">
        <v>180</v>
      </c>
      <c r="O54" s="1" t="n">
        <v>276000</v>
      </c>
      <c r="P54" s="1" t="n">
        <v>230000</v>
      </c>
      <c r="Q54" s="1" t="n">
        <v>232000</v>
      </c>
      <c r="R54" s="1" t="n">
        <v>46000</v>
      </c>
      <c r="S54" s="26" t="n">
        <v>276081.3</v>
      </c>
      <c r="T54" s="26" t="n">
        <v>276081.3</v>
      </c>
      <c r="U54" s="26"/>
      <c r="V54" s="28" t="n">
        <v>46214.54</v>
      </c>
      <c r="W54" s="28" t="n">
        <v>211116.12</v>
      </c>
      <c r="X54" s="28" t="n">
        <v>211116.12</v>
      </c>
      <c r="Y54" s="28" t="n">
        <v>211987.48</v>
      </c>
      <c r="Z54" s="28" t="n">
        <v>211987.48</v>
      </c>
      <c r="AA54" s="28" t="n">
        <v>245387</v>
      </c>
      <c r="AB54" s="28" t="n">
        <v>245387</v>
      </c>
      <c r="AC54" s="28" t="n">
        <v>47227.2</v>
      </c>
      <c r="AD54" s="28" t="n">
        <v>178701.94</v>
      </c>
      <c r="AE54" s="28" t="n">
        <v>178701.94</v>
      </c>
      <c r="AF54" s="28" t="n">
        <v>179232.32</v>
      </c>
      <c r="AG54" s="28" t="n">
        <v>179232.32</v>
      </c>
      <c r="AH54" s="28" t="n">
        <v>171804.92</v>
      </c>
      <c r="AI54" s="28" t="n">
        <v>171804.92</v>
      </c>
      <c r="AJ54" s="28" t="n">
        <v>53628.1</v>
      </c>
      <c r="AK54" s="28" t="n">
        <v>300887.06</v>
      </c>
      <c r="AL54" s="28" t="n">
        <v>46194.9</v>
      </c>
      <c r="AM54" s="19" t="n">
        <v>211087.8</v>
      </c>
      <c r="AN54" s="28"/>
      <c r="AO54" s="28"/>
      <c r="AP54" s="26"/>
      <c r="AQ54" s="26" t="n">
        <v>231020.72</v>
      </c>
      <c r="AR54" s="26" t="n">
        <v>233574.76</v>
      </c>
      <c r="AS54" s="26" t="n">
        <v>230461.8</v>
      </c>
      <c r="AT54" s="26" t="n">
        <v>230461.8</v>
      </c>
      <c r="AV54" s="19" t="n">
        <v>231020.72</v>
      </c>
      <c r="AW54" s="19" t="n">
        <v>231020.72</v>
      </c>
      <c r="AX54" s="19"/>
      <c r="AY54" s="28" t="n">
        <v>233574.36</v>
      </c>
      <c r="AZ54" s="28" t="n">
        <v>230108.8</v>
      </c>
      <c r="BA54" s="19" t="n">
        <v>230108.8</v>
      </c>
      <c r="BB54" s="19"/>
      <c r="BC54" s="19" t="n">
        <v>218449.8</v>
      </c>
      <c r="BD54" s="19" t="n">
        <v>206964.42</v>
      </c>
      <c r="BE54" s="19" t="n">
        <v>233548.58</v>
      </c>
      <c r="BF54" s="19" t="n">
        <v>233391.84</v>
      </c>
      <c r="BG54" s="19"/>
      <c r="BI54" s="19" t="n">
        <v>138716.6</v>
      </c>
      <c r="BJ54" s="19"/>
      <c r="BK54" s="19" t="n">
        <v>136687.2</v>
      </c>
      <c r="BL54" s="19"/>
      <c r="BM54" s="19" t="n">
        <v>137093.02</v>
      </c>
      <c r="BN54" s="28" t="n">
        <v>138716.6</v>
      </c>
      <c r="BO54" s="28"/>
      <c r="BP54" s="28" t="n">
        <v>138716.6</v>
      </c>
      <c r="BQ54" s="19" t="n">
        <v>136717.48</v>
      </c>
      <c r="BR54" s="19" t="n">
        <v>136687.2</v>
      </c>
      <c r="BS54" s="19" t="n">
        <v>136717.46</v>
      </c>
      <c r="BT54" s="19"/>
      <c r="BU54" s="28" t="n">
        <v>192227.46</v>
      </c>
      <c r="BV54" s="28"/>
      <c r="BW54" s="28" t="n">
        <v>192215.92</v>
      </c>
      <c r="BX54" s="28"/>
      <c r="BY54" s="28" t="n">
        <v>186860.94</v>
      </c>
      <c r="BZ54" s="19" t="n">
        <v>192227.46</v>
      </c>
      <c r="CA54" s="19"/>
      <c r="CB54" s="19" t="n">
        <v>192227.46</v>
      </c>
      <c r="CC54" s="19" t="n">
        <v>184897.84</v>
      </c>
      <c r="CD54" s="19" t="n">
        <v>184897.84</v>
      </c>
      <c r="CG54" s="28" t="n">
        <v>137455.64</v>
      </c>
      <c r="CH54" s="19" t="n">
        <v>136817.22</v>
      </c>
      <c r="CI54" s="19"/>
      <c r="CJ54" s="28"/>
      <c r="CK54" s="19" t="n">
        <v>192225.7</v>
      </c>
      <c r="CL54" s="19" t="n">
        <v>184891.08</v>
      </c>
      <c r="CN54" s="19" t="n">
        <v>141446.54</v>
      </c>
      <c r="CO54" s="19" t="n">
        <v>141446.54</v>
      </c>
      <c r="CQ54" s="19" t="n">
        <v>295862.04</v>
      </c>
      <c r="CR54" s="19" t="n">
        <v>307883.46</v>
      </c>
      <c r="CT54" s="28" t="n">
        <v>299866.64</v>
      </c>
      <c r="CU54" s="28" t="n">
        <v>298784.7</v>
      </c>
      <c r="CV54" s="19" t="n">
        <v>298513.26</v>
      </c>
      <c r="CW54" s="19" t="n">
        <v>218449.8</v>
      </c>
      <c r="CX54" s="19" t="n">
        <v>297382.24</v>
      </c>
      <c r="CY54" s="19" t="n">
        <v>218449.8</v>
      </c>
      <c r="DB54" s="32" t="n">
        <v>225819.92</v>
      </c>
    </row>
    <row r="55" customFormat="false" ht="12.8" hidden="false" customHeight="false" outlineLevel="0" collapsed="false">
      <c r="A55" s="1" t="s">
        <v>181</v>
      </c>
      <c r="J55" s="19"/>
      <c r="K55" s="19"/>
      <c r="O55" s="1" t="n">
        <v>3239000</v>
      </c>
      <c r="P55" s="1" t="n">
        <v>662000</v>
      </c>
      <c r="Q55" s="1" t="n">
        <v>635000</v>
      </c>
      <c r="R55" s="1" t="n">
        <v>382000</v>
      </c>
      <c r="S55" s="26" t="n">
        <v>3239287.04</v>
      </c>
      <c r="T55" s="26" t="n">
        <v>3239287.04</v>
      </c>
      <c r="U55" s="26"/>
      <c r="V55" s="15" t="n">
        <v>381511.72</v>
      </c>
      <c r="W55" s="15" t="n">
        <v>632674.78</v>
      </c>
      <c r="X55" s="26"/>
      <c r="Y55" s="26"/>
      <c r="Z55" s="26"/>
      <c r="AA55" s="26"/>
      <c r="AB55" s="26"/>
      <c r="AC55" s="15" t="n">
        <v>381994.78</v>
      </c>
      <c r="AD55" s="15" t="n">
        <v>623247.36</v>
      </c>
      <c r="AE55" s="26"/>
      <c r="AF55" s="26"/>
      <c r="AG55" s="26"/>
      <c r="AH55" s="26"/>
      <c r="AI55" s="26"/>
      <c r="AJ55" s="15" t="n">
        <v>481831.3</v>
      </c>
      <c r="AK55" s="15" t="n">
        <v>974263.44</v>
      </c>
      <c r="AL55" s="15" t="n">
        <v>381480.42</v>
      </c>
      <c r="AM55" s="15" t="n">
        <v>632692.34</v>
      </c>
      <c r="AN55" s="26"/>
      <c r="AO55" s="26"/>
      <c r="AP55" s="14"/>
      <c r="AQ55" s="26" t="n">
        <v>663108.24</v>
      </c>
      <c r="AR55" s="26" t="n">
        <v>663124.76</v>
      </c>
      <c r="AS55" s="26" t="n">
        <v>662847.08</v>
      </c>
      <c r="AT55" s="26" t="n">
        <v>662847.08</v>
      </c>
      <c r="AU55" s="2"/>
      <c r="AV55" s="2"/>
      <c r="AW55" s="30" t="n">
        <v>663093.44</v>
      </c>
      <c r="AX55" s="30"/>
      <c r="AY55" s="30" t="n">
        <v>663096.2</v>
      </c>
      <c r="AZ55" s="30" t="n">
        <v>662424.28</v>
      </c>
      <c r="BA55" s="21" t="n">
        <v>662424.28</v>
      </c>
      <c r="BB55" s="21"/>
      <c r="BC55" s="27" t="n">
        <v>661124.18</v>
      </c>
      <c r="BD55" s="28" t="n">
        <v>650378.5</v>
      </c>
      <c r="BE55" s="28" t="n">
        <v>663076.6</v>
      </c>
      <c r="BF55" s="28" t="n">
        <v>663064.12</v>
      </c>
      <c r="BG55" s="21"/>
      <c r="BI55" s="21" t="n">
        <v>698885.84</v>
      </c>
      <c r="BJ55" s="21"/>
      <c r="BK55" s="21" t="n">
        <v>709441.44</v>
      </c>
      <c r="BL55" s="21"/>
      <c r="BM55" s="21" t="n">
        <v>707453.42</v>
      </c>
      <c r="BN55" s="30" t="n">
        <v>698885.84</v>
      </c>
      <c r="BO55" s="30"/>
      <c r="BP55" s="30" t="n">
        <v>698885.84</v>
      </c>
      <c r="BQ55" s="21" t="n">
        <v>709824.08</v>
      </c>
      <c r="BR55" s="28" t="n">
        <v>709441.44</v>
      </c>
      <c r="BS55" s="28" t="n">
        <v>709824.08</v>
      </c>
      <c r="BT55" s="21"/>
      <c r="BU55" s="30" t="n">
        <v>625904.74</v>
      </c>
      <c r="BV55" s="30"/>
      <c r="BW55" s="30" t="n">
        <v>625723.08</v>
      </c>
      <c r="BX55" s="30"/>
      <c r="BY55" s="30" t="n">
        <v>625702.24</v>
      </c>
      <c r="BZ55" s="21" t="n">
        <v>625904.74</v>
      </c>
      <c r="CA55" s="21"/>
      <c r="CB55" s="21" t="n">
        <v>625904.74</v>
      </c>
      <c r="CC55" s="21" t="n">
        <v>625686.48</v>
      </c>
      <c r="CG55" s="30" t="n">
        <v>698885.88</v>
      </c>
      <c r="CH55" s="21" t="n">
        <v>709823.52</v>
      </c>
      <c r="CI55" s="21"/>
      <c r="CJ55" s="30"/>
      <c r="CK55" s="21" t="n">
        <v>625904.6</v>
      </c>
      <c r="CL55" s="21" t="n">
        <v>625686.3</v>
      </c>
      <c r="CN55" s="21" t="n">
        <v>704223.3</v>
      </c>
      <c r="CO55" s="28" t="n">
        <v>704223.3</v>
      </c>
      <c r="CQ55" s="21" t="n">
        <v>678217.78</v>
      </c>
      <c r="CR55" s="28" t="n">
        <v>746977.24</v>
      </c>
      <c r="CT55" s="30" t="n">
        <v>825682.58</v>
      </c>
      <c r="CU55" s="30" t="n">
        <v>787964.48</v>
      </c>
      <c r="CV55" s="21" t="n">
        <v>788063.76</v>
      </c>
      <c r="CW55" s="21" t="n">
        <v>661124.18</v>
      </c>
      <c r="CX55" s="21" t="n">
        <v>789183.84</v>
      </c>
      <c r="CY55" s="21" t="n">
        <v>661124.18</v>
      </c>
      <c r="DB55" s="33" t="n">
        <v>662470.56</v>
      </c>
    </row>
    <row r="56" customFormat="false" ht="12.8" hidden="false" customHeight="false" outlineLevel="0" collapsed="false">
      <c r="J56" s="19"/>
      <c r="K56" s="19"/>
    </row>
    <row r="57" customFormat="false" ht="12.8" hidden="false" customHeight="false" outlineLevel="0" collapsed="false">
      <c r="A57" s="1" t="s">
        <v>182</v>
      </c>
    </row>
    <row r="58" customFormat="false" ht="12.8" hidden="false" customHeight="false" outlineLevel="0" collapsed="false">
      <c r="A58" s="1" t="s">
        <v>183</v>
      </c>
    </row>
    <row r="60" customFormat="false" ht="12.8" hidden="false" customHeight="false" outlineLevel="0" collapsed="false">
      <c r="A60" s="1" t="s">
        <v>184</v>
      </c>
      <c r="BH60" s="2"/>
      <c r="DF60" s="19"/>
      <c r="DG60" s="19"/>
      <c r="DH60" s="19"/>
      <c r="DI60" s="19"/>
      <c r="DJ60" s="19"/>
      <c r="DK60" s="19"/>
      <c r="DL60" s="19"/>
      <c r="DM60" s="19"/>
      <c r="DN60" s="19"/>
      <c r="DO60" s="19"/>
      <c r="DQ60" s="19"/>
      <c r="DR60" s="19"/>
      <c r="DS60" s="19"/>
      <c r="DT60" s="19"/>
      <c r="DU60" s="19"/>
    </row>
    <row r="61" customFormat="false" ht="12.8" hidden="false" customHeight="false" outlineLevel="0" collapsed="false">
      <c r="A61" s="1" t="s">
        <v>185</v>
      </c>
      <c r="O61" s="1" t="n">
        <v>5322</v>
      </c>
      <c r="P61" s="1" t="n">
        <v>6556</v>
      </c>
      <c r="Q61" s="1" t="n">
        <v>5151</v>
      </c>
      <c r="R61" s="1" t="n">
        <v>6668</v>
      </c>
      <c r="S61" s="26" t="n">
        <v>5246.35535090505</v>
      </c>
      <c r="T61" s="26" t="n">
        <v>5246.35535090505</v>
      </c>
      <c r="U61" s="26"/>
      <c r="V61" s="15" t="n">
        <v>6041.59256906955</v>
      </c>
      <c r="W61" s="24" t="n">
        <v>6640.58240711337</v>
      </c>
      <c r="X61" s="26"/>
      <c r="Y61" s="26"/>
      <c r="Z61" s="26"/>
      <c r="AA61" s="26"/>
      <c r="AB61" s="26"/>
      <c r="AC61" s="15" t="n">
        <v>5380.77199110829</v>
      </c>
      <c r="AD61" s="15" t="n">
        <v>6172.67005398539</v>
      </c>
      <c r="AE61" s="26"/>
      <c r="AF61" s="26"/>
      <c r="AG61" s="26"/>
      <c r="AH61" s="26"/>
      <c r="AI61" s="26"/>
      <c r="AJ61" s="15" t="n">
        <v>7136.88059701493</v>
      </c>
      <c r="AK61" s="15" t="n">
        <v>7711.51698952048</v>
      </c>
      <c r="AL61" s="25" t="n">
        <v>6043.43251825977</v>
      </c>
      <c r="AM61" s="15" t="n">
        <v>6634.93680533503</v>
      </c>
      <c r="AN61" s="26"/>
      <c r="AO61" s="26"/>
      <c r="AQ61" s="26" t="n">
        <v>6745.82089552239</v>
      </c>
      <c r="AR61" s="26" t="n">
        <v>6866.40203239124</v>
      </c>
      <c r="AS61" s="26" t="n">
        <v>6848.5265163544</v>
      </c>
      <c r="AT61" s="26" t="n">
        <v>6848.5265163544</v>
      </c>
      <c r="AW61" s="26" t="n">
        <v>6745.82089552239</v>
      </c>
      <c r="AY61" s="26" t="n">
        <v>6866.40203239124</v>
      </c>
      <c r="AZ61" s="26" t="n">
        <v>6848.5265163544</v>
      </c>
      <c r="BA61" s="26" t="n">
        <v>6848.5265163544</v>
      </c>
      <c r="BH61" s="26" t="n">
        <v>5431.2330898698</v>
      </c>
    </row>
    <row r="62" customFormat="false" ht="12.8" hidden="false" customHeight="false" outlineLevel="0" collapsed="false">
      <c r="A62" s="1" t="s">
        <v>186</v>
      </c>
      <c r="S62" s="26"/>
      <c r="T62" s="26"/>
      <c r="U62" s="26"/>
      <c r="V62" s="26"/>
      <c r="W62" s="26"/>
      <c r="X62" s="26"/>
      <c r="Y62" s="26"/>
      <c r="Z62" s="26"/>
      <c r="AA62" s="26"/>
      <c r="AB62" s="26"/>
      <c r="AC62" s="26"/>
      <c r="AD62" s="26"/>
      <c r="AE62" s="26"/>
      <c r="AF62" s="26"/>
      <c r="AG62" s="26"/>
      <c r="AH62" s="26"/>
      <c r="AI62" s="26"/>
      <c r="AJ62" s="26"/>
      <c r="AK62" s="26"/>
      <c r="AL62" s="26"/>
      <c r="AM62" s="26"/>
      <c r="AN62" s="26"/>
      <c r="AO62" s="26"/>
      <c r="AQ62" s="26"/>
      <c r="AR62" s="26"/>
      <c r="AS62" s="26"/>
      <c r="AT62" s="26"/>
      <c r="BH62" s="26"/>
    </row>
    <row r="63" customFormat="false" ht="12.8" hidden="false" customHeight="false" outlineLevel="0" collapsed="false">
      <c r="J63" s="19"/>
      <c r="K63" s="19"/>
    </row>
    <row r="64" customFormat="false" ht="12.8" hidden="false" customHeight="false" outlineLevel="0" collapsed="false">
      <c r="A64" s="1" t="s">
        <v>187</v>
      </c>
      <c r="O64" s="1" t="n">
        <f aca="false">AVERAGE(O46,O48,O54,O55,O61)</f>
        <v>773673.6</v>
      </c>
      <c r="P64" s="1" t="n">
        <f aca="false">AVERAGE(P46,P48,P54,P55,P61)</f>
        <v>204124.4</v>
      </c>
      <c r="Q64" s="1" t="n">
        <f aca="false">AVERAGE(Q46,Q48,Q54,Q55,Q61)</f>
        <v>191239.6</v>
      </c>
      <c r="S64" s="1" t="n">
        <f aca="false">AVERAGE(S46,S48,S54,S55,S61)</f>
        <v>773736.119070181</v>
      </c>
      <c r="T64" s="1" t="n">
        <f aca="false">AVERAGE(T46,T48,T54,T55,T61)</f>
        <v>773736.119070181</v>
      </c>
      <c r="AQ64" s="1" t="n">
        <f aca="false">AVERAGE(AQ46,AQ48,AQ54,AQ55,AQ61)</f>
        <v>202614.548179105</v>
      </c>
      <c r="AR64" s="1" t="n">
        <f aca="false">AVERAGE(AR46,AR48,AR54,AR55,AR61)</f>
        <v>203543.648406478</v>
      </c>
      <c r="AS64" s="1" t="n">
        <f aca="false">AVERAGE(AS46,AS48,AS54,AS55,AS61)</f>
        <v>203088.073303271</v>
      </c>
      <c r="AT64" s="1" t="n">
        <f aca="false">AVERAGE(AT46,AT48,AT54,AT55,AT61)</f>
        <v>203088.073303271</v>
      </c>
    </row>
    <row r="65" customFormat="false" ht="12.8" hidden="false" customHeight="false" outlineLevel="0" collapsed="false">
      <c r="A65" s="1" t="s">
        <v>188</v>
      </c>
      <c r="O65" s="1" t="n">
        <f aca="false">AVERAGE(O42,O46,O48,O54,O55,O61,)</f>
        <v>2652624</v>
      </c>
      <c r="P65" s="1" t="n">
        <f aca="false">AVERAGE(P42,P46,P48,P54,P55,P61,)</f>
        <v>1822803.14285714</v>
      </c>
      <c r="Q65" s="1" t="n">
        <f aca="false">AVERAGE(Q42,Q46,Q48,Q54,Q55,Q61,)</f>
        <v>1668028.28571429</v>
      </c>
      <c r="S65" s="1" t="n">
        <f aca="false">AVERAGE(S42,S46,S48,S54,S55,S61,)</f>
        <v>2652695.5064787</v>
      </c>
      <c r="T65" s="1" t="n">
        <f aca="false">AVERAGE(T42,T46,T48,T54,T55,T61,)</f>
        <v>2652695.5064787</v>
      </c>
      <c r="AQ65" s="1" t="n">
        <f aca="false">AVERAGE(AQ42,AQ46,AQ48,AQ54,AQ55,AQ61,)</f>
        <v>1829677.08584222</v>
      </c>
      <c r="AR65" s="1" t="n">
        <f aca="false">AVERAGE(AR42,AR46,AR48,AR54,AR55,AR61,)</f>
        <v>1883269.02600463</v>
      </c>
      <c r="AS65" s="1" t="n">
        <f aca="false">AVERAGE(AS42,AS46,AS48,AS54,AS55,AS61,)</f>
        <v>1873862.59807377</v>
      </c>
      <c r="AT65" s="1" t="n">
        <f aca="false">AVERAGE(AT42,AT46,AT48,AT54,AT55,AT61,)</f>
        <v>1873862.59807377</v>
      </c>
    </row>
    <row r="70" customFormat="false" ht="12.8" hidden="false" customHeight="false" outlineLevel="0" collapsed="false">
      <c r="DJ70" s="2"/>
      <c r="DK70" s="2"/>
      <c r="DL70" s="2"/>
    </row>
    <row r="71" customFormat="false" ht="12.8" hidden="false" customHeight="false" outlineLevel="0" collapsed="false">
      <c r="DJ71" s="12"/>
      <c r="DK71" s="12"/>
      <c r="DL71" s="12"/>
    </row>
    <row r="75" customFormat="false" ht="12.8" hidden="false" customHeight="false" outlineLevel="0" collapsed="false">
      <c r="AQ75" s="2"/>
      <c r="AR75" s="2"/>
      <c r="AS75" s="2"/>
      <c r="AT75" s="2"/>
      <c r="AW75" s="2"/>
      <c r="AX75" s="2"/>
      <c r="AY75" s="2"/>
      <c r="AZ75" s="2"/>
    </row>
    <row r="76" customFormat="false" ht="12.8" hidden="false" customHeight="false" outlineLevel="0" collapsed="false">
      <c r="AW76" s="2"/>
      <c r="AX76" s="2"/>
      <c r="AY76" s="2"/>
      <c r="AZ76" s="2"/>
      <c r="DN76" s="12"/>
      <c r="DP76" s="11"/>
    </row>
    <row r="77" customFormat="false" ht="12.8" hidden="false" customHeight="false" outlineLevel="0" collapsed="false">
      <c r="AQ77" s="19"/>
      <c r="AW77" s="2"/>
      <c r="AX77" s="2"/>
      <c r="AY77" s="2"/>
      <c r="AZ77" s="2"/>
      <c r="DJ77" s="19"/>
      <c r="DK77" s="19"/>
      <c r="DL77" s="19"/>
      <c r="DP77" s="19"/>
    </row>
    <row r="78" customFormat="false" ht="12.8" hidden="false" customHeight="false" outlineLevel="0" collapsed="false">
      <c r="AQ78" s="19"/>
      <c r="AR78" s="2"/>
      <c r="AW78" s="2"/>
      <c r="AX78" s="2"/>
      <c r="AY78" s="2"/>
      <c r="AZ78" s="2"/>
      <c r="DJ78" s="2"/>
      <c r="DK78" s="2"/>
      <c r="DL78" s="2"/>
      <c r="DP78" s="2"/>
    </row>
    <row r="79" customFormat="false" ht="12.8" hidden="false" customHeight="false" outlineLevel="0" collapsed="false">
      <c r="AW79" s="2"/>
      <c r="AX79" s="2"/>
      <c r="AY79" s="2"/>
      <c r="AZ79" s="2"/>
      <c r="DJ79" s="19"/>
      <c r="DK79" s="19"/>
      <c r="DL79" s="19"/>
      <c r="DP79" s="19"/>
    </row>
    <row r="80" customFormat="false" ht="12.8" hidden="false" customHeight="false" outlineLevel="0" collapsed="false">
      <c r="AQ80" s="1" t="s">
        <v>109</v>
      </c>
      <c r="AR80" s="1" t="s">
        <v>193</v>
      </c>
      <c r="AS80" s="1" t="s">
        <v>194</v>
      </c>
      <c r="AT80" s="1" t="s">
        <v>195</v>
      </c>
      <c r="AW80" s="2"/>
      <c r="AX80" s="2"/>
      <c r="AY80" s="2"/>
      <c r="AZ80" s="2"/>
    </row>
    <row r="81" customFormat="false" ht="12.8" hidden="false" customHeight="false" outlineLevel="0" collapsed="false">
      <c r="AQ81" s="19" t="n">
        <v>341.28</v>
      </c>
      <c r="AR81" s="19" t="n">
        <v>336.96</v>
      </c>
      <c r="AS81" s="19" t="n">
        <v>340.92</v>
      </c>
      <c r="AT81" s="19" t="n">
        <v>341.36</v>
      </c>
      <c r="AW81" s="2"/>
      <c r="AX81" s="2"/>
      <c r="AY81" s="2"/>
      <c r="AZ81" s="2"/>
    </row>
    <row r="82" customFormat="false" ht="12.8" hidden="false" customHeight="false" outlineLevel="0" collapsed="false">
      <c r="AQ82" s="19"/>
      <c r="AR82" s="2"/>
      <c r="AS82" s="2"/>
      <c r="AT82" s="2"/>
      <c r="AW82" s="2"/>
      <c r="AX82" s="2"/>
      <c r="AY82" s="2"/>
      <c r="AZ82" s="2"/>
      <c r="DN82" s="19"/>
      <c r="DP82" s="2"/>
    </row>
    <row r="83" customFormat="false" ht="12.8" hidden="false" customHeight="false" outlineLevel="0" collapsed="false">
      <c r="AQ83" s="19" t="n">
        <v>112691.32</v>
      </c>
      <c r="AR83" s="19" t="n">
        <v>113503.12</v>
      </c>
      <c r="AS83" s="19" t="n">
        <v>115892.32</v>
      </c>
      <c r="AT83" s="19" t="n">
        <v>113397.12</v>
      </c>
      <c r="AW83" s="2"/>
      <c r="AX83" s="2"/>
      <c r="AY83" s="2"/>
      <c r="AZ83" s="2"/>
      <c r="DN83" s="2"/>
      <c r="DP83" s="2"/>
    </row>
    <row r="84" customFormat="false" ht="12.8" hidden="false" customHeight="false" outlineLevel="0" collapsed="false">
      <c r="DN84" s="19"/>
      <c r="DP84" s="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G7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C16" activeCellId="1" sqref="BA61 C16"/>
    </sheetView>
  </sheetViews>
  <sheetFormatPr defaultColWidth="11.53515625" defaultRowHeight="12.8" zeroHeight="false" outlineLevelRow="0" outlineLevelCol="0"/>
  <cols>
    <col collapsed="false" customWidth="true" hidden="false" outlineLevel="0" max="1" min="1" style="2" width="28.75"/>
  </cols>
  <sheetData>
    <row r="2" customFormat="false" ht="12.8" hidden="false" customHeight="false" outlineLevel="0" collapsed="false">
      <c r="C2" s="2" t="s">
        <v>18</v>
      </c>
      <c r="D2" s="2" t="s">
        <v>196</v>
      </c>
    </row>
    <row r="3" customFormat="false" ht="12.8" hidden="false" customHeight="false" outlineLevel="0" collapsed="false">
      <c r="C3" s="5" t="s">
        <v>91</v>
      </c>
      <c r="D3" s="1" t="s">
        <v>109</v>
      </c>
      <c r="E3" s="1" t="s">
        <v>110</v>
      </c>
      <c r="F3" s="1" t="s">
        <v>111</v>
      </c>
      <c r="G3" s="7" t="s">
        <v>112</v>
      </c>
    </row>
    <row r="4" customFormat="false" ht="12.8" hidden="false" customHeight="false" outlineLevel="0" collapsed="false">
      <c r="A4" s="3" t="s">
        <v>197</v>
      </c>
    </row>
    <row r="5" customFormat="false" ht="12.8" hidden="false" customHeight="false" outlineLevel="0" collapsed="false">
      <c r="A5" s="1" t="s">
        <v>160</v>
      </c>
    </row>
    <row r="6" customFormat="false" ht="12.8" hidden="false" customHeight="false" outlineLevel="0" collapsed="false">
      <c r="A6" s="1" t="s">
        <v>170</v>
      </c>
    </row>
    <row r="7" customFormat="false" ht="12.8" hidden="false" customHeight="false" outlineLevel="0" collapsed="false">
      <c r="A7" s="1" t="s">
        <v>198</v>
      </c>
      <c r="C7" s="34" t="n">
        <v>684.052721581459</v>
      </c>
      <c r="D7" s="34" t="n">
        <v>712.43826887846</v>
      </c>
      <c r="E7" s="35" t="n">
        <v>676.54386572361</v>
      </c>
      <c r="F7" s="34" t="n">
        <v>790.856329123974</v>
      </c>
      <c r="G7" s="34" t="n">
        <v>714.333313083649</v>
      </c>
    </row>
    <row r="8" customFormat="false" ht="12.8" hidden="false" customHeight="false" outlineLevel="0" collapsed="false">
      <c r="A8" s="1"/>
    </row>
    <row r="9" customFormat="false" ht="12.8" hidden="false" customHeight="false" outlineLevel="0" collapsed="false">
      <c r="A9" s="1" t="s">
        <v>192</v>
      </c>
    </row>
    <row r="10" customFormat="false" ht="12.8" hidden="false" customHeight="false" outlineLevel="0" collapsed="false">
      <c r="A10" s="1" t="s">
        <v>174</v>
      </c>
    </row>
    <row r="11" customFormat="false" ht="12.8" hidden="false" customHeight="false" outlineLevel="0" collapsed="false">
      <c r="A11" s="1" t="s">
        <v>175</v>
      </c>
    </row>
    <row r="12" customFormat="false" ht="12.8" hidden="false" customHeight="false" outlineLevel="0" collapsed="false">
      <c r="A12" s="1" t="s">
        <v>176</v>
      </c>
      <c r="C12" s="36" t="n">
        <v>34.1211344003677</v>
      </c>
      <c r="D12" s="37" t="n">
        <v>13.4298436546326</v>
      </c>
      <c r="E12" s="36" t="n">
        <v>14.6293577003479</v>
      </c>
      <c r="F12" s="21" t="n">
        <v>16.2671138763428</v>
      </c>
      <c r="G12" s="21" t="n">
        <v>15.888842291832</v>
      </c>
    </row>
    <row r="13" customFormat="false" ht="12.8" hidden="false" customHeight="false" outlineLevel="0" collapsed="false">
      <c r="A13" s="1"/>
    </row>
    <row r="14" customFormat="false" ht="12.8" hidden="false" customHeight="false" outlineLevel="0" collapsed="false">
      <c r="A14" s="1" t="s">
        <v>178</v>
      </c>
    </row>
    <row r="15" customFormat="false" ht="12.8" hidden="false" customHeight="false" outlineLevel="0" collapsed="false">
      <c r="A15" s="1" t="s">
        <v>179</v>
      </c>
    </row>
    <row r="16" customFormat="false" ht="12.8" hidden="false" customHeight="false" outlineLevel="0" collapsed="false">
      <c r="A16" s="1" t="s">
        <v>180</v>
      </c>
    </row>
    <row r="17" customFormat="false" ht="12.8" hidden="false" customHeight="false" outlineLevel="0" collapsed="false">
      <c r="A17" s="1" t="s">
        <v>181</v>
      </c>
    </row>
    <row r="18" customFormat="false" ht="12.8" hidden="false" customHeight="false" outlineLevel="0" collapsed="false">
      <c r="A18" s="1"/>
    </row>
    <row r="19" customFormat="false" ht="12.8" hidden="false" customHeight="false" outlineLevel="0" collapsed="false">
      <c r="A19" s="1" t="s">
        <v>182</v>
      </c>
    </row>
    <row r="20" customFormat="false" ht="12.8" hidden="false" customHeight="false" outlineLevel="0" collapsed="false">
      <c r="A20" s="1" t="s">
        <v>183</v>
      </c>
    </row>
    <row r="21" customFormat="false" ht="12.8" hidden="false" customHeight="false" outlineLevel="0" collapsed="false">
      <c r="A21" s="1"/>
    </row>
    <row r="22" customFormat="false" ht="12.8" hidden="false" customHeight="false" outlineLevel="0" collapsed="false">
      <c r="A22" s="1" t="s">
        <v>184</v>
      </c>
    </row>
    <row r="23" customFormat="false" ht="12.8" hidden="false" customHeight="false" outlineLevel="0" collapsed="false">
      <c r="A23" s="1" t="s">
        <v>183</v>
      </c>
    </row>
    <row r="24" customFormat="false" ht="12.8" hidden="false" customHeight="false" outlineLevel="0" collapsed="false">
      <c r="A24" s="1"/>
    </row>
    <row r="25" customFormat="false" ht="12.8" hidden="false" customHeight="false" outlineLevel="0" collapsed="false">
      <c r="A25" s="1" t="s">
        <v>187</v>
      </c>
    </row>
    <row r="26" customFormat="false" ht="12.8" hidden="false" customHeight="false" outlineLevel="0" collapsed="false">
      <c r="A26" s="1" t="s">
        <v>188</v>
      </c>
    </row>
    <row r="29" customFormat="false" ht="12.8" hidden="false" customHeight="false" outlineLevel="0" collapsed="false">
      <c r="A29" s="3" t="s">
        <v>199</v>
      </c>
    </row>
    <row r="30" customFormat="false" ht="12.8" hidden="false" customHeight="false" outlineLevel="0" collapsed="false">
      <c r="A30" s="1" t="s">
        <v>160</v>
      </c>
    </row>
    <row r="31" customFormat="false" ht="12.8" hidden="false" customHeight="false" outlineLevel="0" collapsed="false">
      <c r="A31" s="1" t="s">
        <v>170</v>
      </c>
    </row>
    <row r="32" customFormat="false" ht="12.8" hidden="false" customHeight="false" outlineLevel="0" collapsed="false">
      <c r="A32" s="1" t="s">
        <v>198</v>
      </c>
      <c r="C32" s="35" t="n">
        <v>24529.6949119625</v>
      </c>
      <c r="D32" s="34" t="n">
        <v>19578.1430439508</v>
      </c>
      <c r="E32" s="38" t="n">
        <v>19049.1565588771</v>
      </c>
      <c r="F32" s="34" t="n">
        <v>18584.7486364329</v>
      </c>
      <c r="G32" s="34" t="n">
        <v>18216.3597551661</v>
      </c>
    </row>
    <row r="33" customFormat="false" ht="12.8" hidden="false" customHeight="false" outlineLevel="0" collapsed="false">
      <c r="A33" s="1"/>
    </row>
    <row r="34" customFormat="false" ht="12.8" hidden="false" customHeight="false" outlineLevel="0" collapsed="false">
      <c r="A34" s="1" t="s">
        <v>192</v>
      </c>
    </row>
    <row r="35" customFormat="false" ht="12.8" hidden="false" customHeight="false" outlineLevel="0" collapsed="false">
      <c r="A35" s="1" t="s">
        <v>174</v>
      </c>
    </row>
    <row r="36" customFormat="false" ht="12.8" hidden="false" customHeight="false" outlineLevel="0" collapsed="false">
      <c r="A36" s="1" t="s">
        <v>175</v>
      </c>
    </row>
    <row r="37" customFormat="false" ht="12.8" hidden="false" customHeight="false" outlineLevel="0" collapsed="false">
      <c r="A37" s="1" t="s">
        <v>176</v>
      </c>
      <c r="C37" s="37" t="n">
        <v>10586.6811481229</v>
      </c>
      <c r="D37" s="36" t="n">
        <v>8940.85410665637</v>
      </c>
      <c r="E37" s="36" t="n">
        <v>8252.47786874597</v>
      </c>
      <c r="F37" s="21" t="n">
        <v>7919.1084231114</v>
      </c>
      <c r="G37" s="21" t="n">
        <v>7783.67848711778</v>
      </c>
    </row>
    <row r="38" customFormat="false" ht="12.8" hidden="false" customHeight="false" outlineLevel="0" collapsed="false">
      <c r="A38" s="1"/>
    </row>
    <row r="39" customFormat="false" ht="12.8" hidden="false" customHeight="false" outlineLevel="0" collapsed="false">
      <c r="A39" s="1" t="s">
        <v>178</v>
      </c>
    </row>
    <row r="40" customFormat="false" ht="12.8" hidden="false" customHeight="false" outlineLevel="0" collapsed="false">
      <c r="A40" s="1" t="s">
        <v>179</v>
      </c>
    </row>
    <row r="41" customFormat="false" ht="12.8" hidden="false" customHeight="false" outlineLevel="0" collapsed="false">
      <c r="A41" s="1" t="s">
        <v>180</v>
      </c>
    </row>
    <row r="42" customFormat="false" ht="12.8" hidden="false" customHeight="false" outlineLevel="0" collapsed="false">
      <c r="A42" s="1" t="s">
        <v>181</v>
      </c>
    </row>
    <row r="43" customFormat="false" ht="12.8" hidden="false" customHeight="false" outlineLevel="0" collapsed="false">
      <c r="A43" s="1"/>
    </row>
    <row r="44" customFormat="false" ht="12.8" hidden="false" customHeight="false" outlineLevel="0" collapsed="false">
      <c r="A44" s="1" t="s">
        <v>182</v>
      </c>
    </row>
    <row r="45" customFormat="false" ht="12.8" hidden="false" customHeight="false" outlineLevel="0" collapsed="false">
      <c r="A45" s="1" t="s">
        <v>183</v>
      </c>
    </row>
    <row r="46" customFormat="false" ht="12.8" hidden="false" customHeight="false" outlineLevel="0" collapsed="false">
      <c r="A46" s="1"/>
    </row>
    <row r="47" customFormat="false" ht="12.8" hidden="false" customHeight="false" outlineLevel="0" collapsed="false">
      <c r="A47" s="1" t="s">
        <v>184</v>
      </c>
    </row>
    <row r="48" customFormat="false" ht="12.8" hidden="false" customHeight="false" outlineLevel="0" collapsed="false">
      <c r="A48" s="1" t="s">
        <v>183</v>
      </c>
    </row>
    <row r="49" customFormat="false" ht="12.8" hidden="false" customHeight="false" outlineLevel="0" collapsed="false">
      <c r="A49" s="1"/>
    </row>
    <row r="50" customFormat="false" ht="12.8" hidden="false" customHeight="false" outlineLevel="0" collapsed="false">
      <c r="A50" s="1" t="s">
        <v>187</v>
      </c>
    </row>
    <row r="51" customFormat="false" ht="12.8" hidden="false" customHeight="false" outlineLevel="0" collapsed="false">
      <c r="A51" s="1" t="s">
        <v>188</v>
      </c>
    </row>
    <row r="54" customFormat="false" ht="12.8" hidden="false" customHeight="false" outlineLevel="0" collapsed="false">
      <c r="A54" s="3" t="s">
        <v>200</v>
      </c>
    </row>
    <row r="55" customFormat="false" ht="12.8" hidden="false" customHeight="false" outlineLevel="0" collapsed="false">
      <c r="A55" s="1" t="s">
        <v>160</v>
      </c>
    </row>
    <row r="56" customFormat="false" ht="12.8" hidden="false" customHeight="false" outlineLevel="0" collapsed="false">
      <c r="A56" s="1" t="s">
        <v>170</v>
      </c>
    </row>
    <row r="57" customFormat="false" ht="12.8" hidden="false" customHeight="false" outlineLevel="0" collapsed="false">
      <c r="A57" s="1" t="s">
        <v>198</v>
      </c>
      <c r="C57" s="39" t="n">
        <v>241.46</v>
      </c>
      <c r="D57" s="39" t="n">
        <v>240.09</v>
      </c>
      <c r="E57" s="40" t="n">
        <v>77.49</v>
      </c>
      <c r="F57" s="39" t="n">
        <v>226.34</v>
      </c>
      <c r="G57" s="39" t="n">
        <v>204.92</v>
      </c>
    </row>
    <row r="58" customFormat="false" ht="12.8" hidden="false" customHeight="false" outlineLevel="0" collapsed="false">
      <c r="A58" s="1"/>
    </row>
    <row r="59" customFormat="false" ht="12.8" hidden="false" customHeight="false" outlineLevel="0" collapsed="false">
      <c r="A59" s="1" t="s">
        <v>192</v>
      </c>
    </row>
    <row r="60" customFormat="false" ht="12.8" hidden="false" customHeight="false" outlineLevel="0" collapsed="false">
      <c r="A60" s="1" t="s">
        <v>174</v>
      </c>
    </row>
    <row r="61" customFormat="false" ht="12.8" hidden="false" customHeight="false" outlineLevel="0" collapsed="false">
      <c r="A61" s="1" t="s">
        <v>175</v>
      </c>
    </row>
    <row r="62" customFormat="false" ht="12.8" hidden="false" customHeight="false" outlineLevel="0" collapsed="false">
      <c r="A62" s="1" t="s">
        <v>176</v>
      </c>
      <c r="C62" s="41" t="n">
        <v>4.21</v>
      </c>
      <c r="D62" s="42" t="n">
        <v>1.65</v>
      </c>
      <c r="E62" s="41" t="n">
        <v>2.11</v>
      </c>
      <c r="F62" s="33" t="n">
        <v>14.3</v>
      </c>
      <c r="G62" s="33" t="n">
        <v>1.22</v>
      </c>
    </row>
    <row r="63" customFormat="false" ht="12.8" hidden="false" customHeight="false" outlineLevel="0" collapsed="false">
      <c r="A63" s="1"/>
    </row>
    <row r="64" customFormat="false" ht="12.8" hidden="false" customHeight="false" outlineLevel="0" collapsed="false">
      <c r="A64" s="1" t="s">
        <v>178</v>
      </c>
    </row>
    <row r="65" customFormat="false" ht="12.8" hidden="false" customHeight="false" outlineLevel="0" collapsed="false">
      <c r="A65" s="1" t="s">
        <v>179</v>
      </c>
    </row>
    <row r="66" customFormat="false" ht="12.8" hidden="false" customHeight="false" outlineLevel="0" collapsed="false">
      <c r="A66" s="1" t="s">
        <v>180</v>
      </c>
    </row>
    <row r="67" customFormat="false" ht="12.8" hidden="false" customHeight="false" outlineLevel="0" collapsed="false">
      <c r="A67" s="1" t="s">
        <v>181</v>
      </c>
    </row>
    <row r="68" customFormat="false" ht="12.8" hidden="false" customHeight="false" outlineLevel="0" collapsed="false">
      <c r="A68" s="1"/>
    </row>
    <row r="69" customFormat="false" ht="12.8" hidden="false" customHeight="false" outlineLevel="0" collapsed="false">
      <c r="A69" s="1" t="s">
        <v>182</v>
      </c>
    </row>
    <row r="70" customFormat="false" ht="12.8" hidden="false" customHeight="false" outlineLevel="0" collapsed="false">
      <c r="A70" s="1" t="s">
        <v>183</v>
      </c>
    </row>
    <row r="71" customFormat="false" ht="12.8" hidden="false" customHeight="false" outlineLevel="0" collapsed="false">
      <c r="A71" s="1"/>
    </row>
    <row r="72" customFormat="false" ht="12.8" hidden="false" customHeight="false" outlineLevel="0" collapsed="false">
      <c r="A72" s="1" t="s">
        <v>184</v>
      </c>
    </row>
    <row r="73" customFormat="false" ht="12.8" hidden="false" customHeight="false" outlineLevel="0" collapsed="false">
      <c r="A73" s="1" t="s">
        <v>183</v>
      </c>
    </row>
    <row r="74" customFormat="false" ht="12.8" hidden="false" customHeight="false" outlineLevel="0" collapsed="false">
      <c r="A74" s="1"/>
    </row>
    <row r="75" customFormat="false" ht="12.8" hidden="false" customHeight="false" outlineLevel="0" collapsed="false">
      <c r="A75" s="1" t="s">
        <v>187</v>
      </c>
    </row>
    <row r="76" customFormat="false" ht="12.8" hidden="false" customHeight="false" outlineLevel="0" collapsed="false">
      <c r="A76" s="1" t="s">
        <v>188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P7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3" topLeftCell="V4" activePane="bottomRight" state="frozen"/>
      <selection pane="topLeft" activeCell="A1" activeCellId="0" sqref="A1"/>
      <selection pane="topRight" activeCell="V1" activeCellId="0" sqref="V1"/>
      <selection pane="bottomLeft" activeCell="A4" activeCellId="0" sqref="A4"/>
      <selection pane="bottomRight" activeCell="AH16" activeCellId="1" sqref="BA61 AH16"/>
    </sheetView>
  </sheetViews>
  <sheetFormatPr defaultColWidth="11.53515625" defaultRowHeight="12.8" zeroHeight="false" outlineLevelRow="0" outlineLevelCol="0"/>
  <cols>
    <col collapsed="false" customWidth="true" hidden="false" outlineLevel="0" max="1" min="1" style="1" width="36.01"/>
    <col collapsed="false" customWidth="true" hidden="false" outlineLevel="0" max="2" min="2" style="1" width="13.39"/>
    <col collapsed="false" customWidth="true" hidden="false" outlineLevel="0" max="3" min="3" style="1" width="13.91"/>
    <col collapsed="false" customWidth="true" hidden="false" outlineLevel="0" max="4" min="4" style="1" width="13.22"/>
    <col collapsed="false" customWidth="true" hidden="false" outlineLevel="0" max="5" min="5" style="1" width="13.56"/>
    <col collapsed="false" customWidth="true" hidden="false" outlineLevel="0" max="6" min="6" style="1" width="25.56"/>
    <col collapsed="false" customWidth="true" hidden="false" outlineLevel="0" max="7" min="7" style="1" width="13.73"/>
    <col collapsed="false" customWidth="true" hidden="false" outlineLevel="0" max="8" min="8" style="1" width="28.34"/>
    <col collapsed="false" customWidth="true" hidden="false" outlineLevel="0" max="9" min="9" style="1" width="27.65"/>
    <col collapsed="false" customWidth="true" hidden="false" outlineLevel="0" max="10" min="10" style="1" width="13.91"/>
    <col collapsed="false" customWidth="true" hidden="false" outlineLevel="0" max="11" min="11" style="1" width="13.03"/>
    <col collapsed="false" customWidth="true" hidden="false" outlineLevel="0" max="12" min="12" style="1" width="12.88"/>
    <col collapsed="false" customWidth="true" hidden="false" outlineLevel="0" max="13" min="13" style="1" width="13.39"/>
    <col collapsed="false" customWidth="true" hidden="false" outlineLevel="0" max="15" min="14" style="1" width="12.88"/>
    <col collapsed="false" customWidth="true" hidden="false" outlineLevel="0" max="17" min="16" style="1" width="13.22"/>
    <col collapsed="false" customWidth="true" hidden="false" outlineLevel="0" max="19" min="18" style="1" width="13.03"/>
    <col collapsed="false" customWidth="true" hidden="false" outlineLevel="0" max="20" min="20" style="1" width="12.51"/>
    <col collapsed="false" customWidth="true" hidden="false" outlineLevel="0" max="23" min="21" style="1" width="12.88"/>
    <col collapsed="false" customWidth="true" hidden="false" outlineLevel="0" max="24" min="24" style="1" width="13.56"/>
    <col collapsed="false" customWidth="true" hidden="false" outlineLevel="0" max="26" min="25" style="1" width="12.69"/>
    <col collapsed="false" customWidth="true" hidden="false" outlineLevel="0" max="27" min="27" style="1" width="14.43"/>
    <col collapsed="false" customWidth="true" hidden="false" outlineLevel="0" max="28" min="28" style="1" width="14.6"/>
    <col collapsed="false" customWidth="true" hidden="false" outlineLevel="0" max="29" min="29" style="1" width="13.56"/>
    <col collapsed="false" customWidth="true" hidden="false" outlineLevel="0" max="30" min="30" style="1" width="13.03"/>
    <col collapsed="false" customWidth="false" hidden="false" outlineLevel="0" max="31" min="31" style="1" width="11.53"/>
    <col collapsed="false" customWidth="true" hidden="false" outlineLevel="0" max="32" min="32" style="1" width="13.09"/>
    <col collapsed="false" customWidth="true" hidden="false" outlineLevel="0" max="34" min="33" style="1" width="12.93"/>
    <col collapsed="false" customWidth="false" hidden="false" outlineLevel="0" max="35" min="35" style="1" width="11.53"/>
    <col collapsed="false" customWidth="true" hidden="false" outlineLevel="0" max="36" min="36" style="1" width="12.76"/>
    <col collapsed="false" customWidth="false" hidden="false" outlineLevel="0" max="39" min="37" style="1" width="11.53"/>
    <col collapsed="false" customWidth="true" hidden="false" outlineLevel="0" max="40" min="40" style="1" width="13.09"/>
    <col collapsed="false" customWidth="true" hidden="false" outlineLevel="0" max="41" min="41" style="1" width="13.25"/>
    <col collapsed="false" customWidth="true" hidden="false" outlineLevel="0" max="42" min="42" style="1" width="12.76"/>
    <col collapsed="false" customWidth="true" hidden="false" outlineLevel="0" max="43" min="43" style="1" width="13.25"/>
    <col collapsed="false" customWidth="true" hidden="false" outlineLevel="0" max="44" min="44" style="1" width="13.09"/>
    <col collapsed="false" customWidth="true" hidden="false" outlineLevel="0" max="45" min="45" style="1" width="12.93"/>
    <col collapsed="false" customWidth="false" hidden="false" outlineLevel="0" max="46" min="46" style="1" width="11.53"/>
    <col collapsed="false" customWidth="true" hidden="false" outlineLevel="0" max="47" min="47" style="1" width="14.07"/>
    <col collapsed="false" customWidth="true" hidden="false" outlineLevel="0" max="48" min="48" style="1" width="12.76"/>
    <col collapsed="false" customWidth="true" hidden="false" outlineLevel="0" max="49" min="49" style="1" width="12.61"/>
    <col collapsed="false" customWidth="false" hidden="false" outlineLevel="0" max="50" min="50" style="1" width="11.53"/>
    <col collapsed="false" customWidth="true" hidden="false" outlineLevel="0" max="51" min="51" style="1" width="12.27"/>
    <col collapsed="false" customWidth="false" hidden="false" outlineLevel="0" max="52" min="52" style="1" width="11.53"/>
    <col collapsed="false" customWidth="true" hidden="false" outlineLevel="0" max="53" min="53" style="1" width="13.91"/>
    <col collapsed="false" customWidth="true" hidden="false" outlineLevel="0" max="54" min="54" style="1" width="13.73"/>
    <col collapsed="false" customWidth="true" hidden="false" outlineLevel="0" max="55" min="55" style="1" width="13.91"/>
    <col collapsed="false" customWidth="true" hidden="false" outlineLevel="0" max="56" min="56" style="1" width="13.56"/>
    <col collapsed="false" customWidth="true" hidden="false" outlineLevel="0" max="57" min="57" style="1" width="14.43"/>
    <col collapsed="false" customWidth="true" hidden="false" outlineLevel="0" max="58" min="58" style="1" width="13.73"/>
    <col collapsed="false" customWidth="true" hidden="false" outlineLevel="0" max="61" min="59" style="1" width="13.39"/>
    <col collapsed="false" customWidth="true" hidden="false" outlineLevel="0" max="62" min="62" style="1" width="13.91"/>
    <col collapsed="false" customWidth="false" hidden="false" outlineLevel="0" max="63" min="63" style="1" width="11.53"/>
    <col collapsed="false" customWidth="true" hidden="false" outlineLevel="0" max="64" min="64" style="1" width="13.73"/>
    <col collapsed="false" customWidth="true" hidden="false" outlineLevel="0" max="65" min="65" style="1" width="13.39"/>
    <col collapsed="false" customWidth="true" hidden="false" outlineLevel="0" max="66" min="66" style="1" width="14.43"/>
    <col collapsed="false" customWidth="true" hidden="false" outlineLevel="0" max="67" min="67" style="1" width="13.56"/>
    <col collapsed="false" customWidth="true" hidden="false" outlineLevel="0" max="68" min="68" style="1" width="13.03"/>
    <col collapsed="false" customWidth="false" hidden="false" outlineLevel="0" max="69" min="69" style="1" width="11.53"/>
    <col collapsed="false" customWidth="false" hidden="false" outlineLevel="0" max="16384" min="72" style="1" width="11.53"/>
  </cols>
  <sheetData>
    <row r="1" customFormat="false" ht="12.8" hidden="false" customHeight="false" outlineLevel="0" collapsed="false">
      <c r="A1" s="1" t="s">
        <v>0</v>
      </c>
      <c r="R1" s="1" t="s">
        <v>201</v>
      </c>
      <c r="T1" s="2"/>
      <c r="U1" s="2"/>
      <c r="V1" s="2"/>
      <c r="AF1" s="1" t="s">
        <v>202</v>
      </c>
      <c r="AG1" s="1" t="s">
        <v>202</v>
      </c>
      <c r="AH1" s="1" t="s">
        <v>202</v>
      </c>
      <c r="AJ1" s="1" t="s">
        <v>202</v>
      </c>
      <c r="AN1" s="1" t="s">
        <v>202</v>
      </c>
      <c r="AO1" s="1" t="s">
        <v>202</v>
      </c>
      <c r="AP1" s="1" t="s">
        <v>202</v>
      </c>
      <c r="AQ1" s="1" t="s">
        <v>202</v>
      </c>
      <c r="AR1" s="1" t="s">
        <v>202</v>
      </c>
      <c r="AS1" s="1" t="s">
        <v>202</v>
      </c>
      <c r="AU1" s="1" t="s">
        <v>202</v>
      </c>
      <c r="AV1" s="1" t="s">
        <v>202</v>
      </c>
      <c r="AW1" s="1" t="s">
        <v>202</v>
      </c>
      <c r="AY1" s="1" t="s">
        <v>202</v>
      </c>
      <c r="BA1" s="1" t="s">
        <v>203</v>
      </c>
      <c r="BC1" s="1" t="s">
        <v>204</v>
      </c>
      <c r="BL1" s="1" t="s">
        <v>205</v>
      </c>
      <c r="BN1" s="1" t="s">
        <v>206</v>
      </c>
    </row>
    <row r="2" customFormat="false" ht="12.8" hidden="false" customHeight="false" outlineLevel="0" collapsed="false">
      <c r="B2" s="1" t="s">
        <v>14</v>
      </c>
      <c r="D2" s="1" t="s">
        <v>15</v>
      </c>
      <c r="I2" s="1" t="s">
        <v>16</v>
      </c>
      <c r="O2" s="1" t="s">
        <v>17</v>
      </c>
      <c r="U2" s="1" t="s">
        <v>18</v>
      </c>
      <c r="AA2" s="1" t="s">
        <v>37</v>
      </c>
      <c r="AF2" s="4" t="s">
        <v>207</v>
      </c>
      <c r="AG2" s="4" t="s">
        <v>208</v>
      </c>
      <c r="AH2" s="4" t="s">
        <v>209</v>
      </c>
      <c r="AJ2" s="4" t="s">
        <v>210</v>
      </c>
      <c r="AN2" s="4" t="s">
        <v>211</v>
      </c>
      <c r="AO2" s="4" t="s">
        <v>212</v>
      </c>
      <c r="AP2" s="4" t="s">
        <v>213</v>
      </c>
      <c r="AQ2" s="4" t="s">
        <v>46</v>
      </c>
      <c r="AR2" s="4" t="s">
        <v>214</v>
      </c>
      <c r="AS2" s="4" t="s">
        <v>215</v>
      </c>
      <c r="AU2" s="4" t="s">
        <v>216</v>
      </c>
      <c r="AV2" s="4" t="s">
        <v>217</v>
      </c>
      <c r="AW2" s="4" t="s">
        <v>218</v>
      </c>
      <c r="AY2" s="4" t="s">
        <v>219</v>
      </c>
      <c r="BA2" s="4" t="s">
        <v>220</v>
      </c>
      <c r="BE2" s="4" t="s">
        <v>221</v>
      </c>
      <c r="BL2" s="1" t="s">
        <v>222</v>
      </c>
      <c r="BO2" s="1" t="s">
        <v>88</v>
      </c>
    </row>
    <row r="3" customFormat="false" ht="12.8" hidden="false" customHeight="false" outlineLevel="0" collapsed="false">
      <c r="B3" s="1" t="s">
        <v>80</v>
      </c>
      <c r="C3" s="1" t="s">
        <v>81</v>
      </c>
      <c r="D3" s="1" t="s">
        <v>80</v>
      </c>
      <c r="E3" s="1" t="s">
        <v>81</v>
      </c>
      <c r="F3" s="1" t="s">
        <v>82</v>
      </c>
      <c r="G3" s="1" t="s">
        <v>83</v>
      </c>
      <c r="H3" s="1" t="s">
        <v>84</v>
      </c>
      <c r="I3" s="1" t="s">
        <v>80</v>
      </c>
      <c r="J3" s="1" t="s">
        <v>81</v>
      </c>
      <c r="K3" s="1" t="s">
        <v>85</v>
      </c>
      <c r="L3" s="1" t="s">
        <v>83</v>
      </c>
      <c r="M3" s="1" t="s">
        <v>84</v>
      </c>
      <c r="N3" s="1" t="s">
        <v>86</v>
      </c>
      <c r="O3" s="1" t="s">
        <v>80</v>
      </c>
      <c r="P3" s="1" t="s">
        <v>87</v>
      </c>
      <c r="Q3" s="1" t="s">
        <v>88</v>
      </c>
      <c r="R3" s="1" t="s">
        <v>223</v>
      </c>
      <c r="S3" s="1" t="s">
        <v>224</v>
      </c>
      <c r="T3" s="7" t="s">
        <v>225</v>
      </c>
      <c r="U3" s="5" t="s">
        <v>90</v>
      </c>
      <c r="V3" s="5" t="s">
        <v>91</v>
      </c>
      <c r="W3" s="1" t="s">
        <v>226</v>
      </c>
      <c r="X3" s="1" t="s">
        <v>227</v>
      </c>
      <c r="AA3" s="4" t="s">
        <v>109</v>
      </c>
      <c r="AB3" s="1" t="s">
        <v>110</v>
      </c>
      <c r="AC3" s="1" t="s">
        <v>111</v>
      </c>
      <c r="AD3" s="7" t="s">
        <v>112</v>
      </c>
      <c r="AF3" s="8" t="s">
        <v>228</v>
      </c>
      <c r="AG3" s="8" t="s">
        <v>229</v>
      </c>
      <c r="AH3" s="8" t="s">
        <v>230</v>
      </c>
      <c r="AJ3" s="8" t="s">
        <v>231</v>
      </c>
      <c r="AK3" s="7" t="s">
        <v>232</v>
      </c>
      <c r="AL3" s="7" t="s">
        <v>233</v>
      </c>
      <c r="AM3" s="7" t="s">
        <v>234</v>
      </c>
      <c r="AN3" s="8" t="s">
        <v>235</v>
      </c>
      <c r="AO3" s="8" t="s">
        <v>236</v>
      </c>
      <c r="AP3" s="8" t="s">
        <v>237</v>
      </c>
      <c r="AQ3" s="8" t="s">
        <v>238</v>
      </c>
      <c r="AR3" s="8" t="s">
        <v>239</v>
      </c>
      <c r="AS3" s="8" t="s">
        <v>240</v>
      </c>
      <c r="AU3" s="8" t="s">
        <v>241</v>
      </c>
      <c r="AV3" s="8" t="s">
        <v>242</v>
      </c>
      <c r="AW3" s="7" t="s">
        <v>150</v>
      </c>
      <c r="AY3" s="7" t="s">
        <v>243</v>
      </c>
      <c r="BA3" s="10" t="s">
        <v>244</v>
      </c>
      <c r="BB3" s="8" t="s">
        <v>245</v>
      </c>
      <c r="BC3" s="8" t="s">
        <v>246</v>
      </c>
      <c r="BD3" s="8" t="s">
        <v>247</v>
      </c>
      <c r="BE3" s="8" t="s">
        <v>123</v>
      </c>
      <c r="BF3" s="8" t="s">
        <v>130</v>
      </c>
      <c r="BG3" s="8" t="s">
        <v>128</v>
      </c>
      <c r="BH3" s="8" t="s">
        <v>248</v>
      </c>
      <c r="BI3" s="8" t="s">
        <v>148</v>
      </c>
      <c r="BJ3" s="8" t="s">
        <v>249</v>
      </c>
      <c r="BL3" s="10" t="s">
        <v>250</v>
      </c>
      <c r="BM3" s="8" t="s">
        <v>146</v>
      </c>
      <c r="BN3" s="8" t="s">
        <v>251</v>
      </c>
      <c r="BO3" s="8" t="s">
        <v>134</v>
      </c>
      <c r="BP3" s="8" t="s">
        <v>252</v>
      </c>
    </row>
    <row r="4" customFormat="false" ht="12.8" hidden="false" customHeight="false" outlineLevel="0" collapsed="false">
      <c r="A4" s="1" t="s">
        <v>160</v>
      </c>
    </row>
    <row r="5" customFormat="false" ht="12.8" hidden="false" customHeight="false" outlineLevel="0" collapsed="false">
      <c r="A5" s="1" t="s">
        <v>170</v>
      </c>
      <c r="R5" s="14" t="n">
        <v>8060452.5</v>
      </c>
      <c r="S5" s="14" t="n">
        <v>8060452.5</v>
      </c>
      <c r="T5" s="14" t="n">
        <v>8881875.5</v>
      </c>
      <c r="U5" s="13" t="n">
        <v>8039156</v>
      </c>
      <c r="V5" s="14" t="n">
        <v>8881788</v>
      </c>
      <c r="W5" s="14" t="n">
        <v>8060452.5</v>
      </c>
      <c r="X5" s="14" t="n">
        <v>8881875.5</v>
      </c>
      <c r="Y5" s="14"/>
      <c r="Z5" s="14"/>
      <c r="AA5" s="13" t="n">
        <v>5637105</v>
      </c>
      <c r="AB5" s="14" t="n">
        <v>5700935</v>
      </c>
      <c r="AD5" s="13" t="n">
        <v>5229761</v>
      </c>
    </row>
    <row r="6" customFormat="false" ht="12.8" hidden="false" customHeight="false" outlineLevel="0" collapsed="false">
      <c r="A6" s="1" t="s">
        <v>198</v>
      </c>
      <c r="B6" s="1" t="n">
        <v>15549689</v>
      </c>
      <c r="C6" s="1" t="n">
        <v>12851889</v>
      </c>
      <c r="E6" s="1" t="n">
        <v>12748107</v>
      </c>
      <c r="F6" s="1" t="n">
        <v>12556299</v>
      </c>
      <c r="G6" s="1" t="n">
        <v>11669720</v>
      </c>
      <c r="H6" s="1" t="n">
        <v>11993791</v>
      </c>
      <c r="I6" s="1" t="n">
        <v>15550000</v>
      </c>
      <c r="J6" s="1" t="n">
        <v>12748000</v>
      </c>
      <c r="K6" s="1" t="n">
        <v>12067000</v>
      </c>
      <c r="L6" s="1" t="n">
        <v>11670000</v>
      </c>
      <c r="M6" s="1" t="n">
        <v>11934000</v>
      </c>
      <c r="N6" s="1" t="n">
        <v>10753000</v>
      </c>
      <c r="O6" s="1" t="n">
        <v>15550000</v>
      </c>
      <c r="P6" s="1" t="n">
        <v>12556000</v>
      </c>
      <c r="Q6" s="1" t="n">
        <v>10930000</v>
      </c>
      <c r="R6" s="2"/>
      <c r="S6" s="2"/>
      <c r="T6" s="2"/>
      <c r="U6" s="13" t="n">
        <v>17627767.42</v>
      </c>
      <c r="V6" s="13" t="n">
        <v>15497569.27</v>
      </c>
      <c r="W6" s="2"/>
      <c r="X6" s="2"/>
      <c r="Y6" s="2"/>
      <c r="Z6" s="2"/>
      <c r="AA6" s="13" t="n">
        <v>11921623.22</v>
      </c>
      <c r="AB6" s="13" t="n">
        <v>12170244.5</v>
      </c>
      <c r="AC6" s="13" t="n">
        <v>12101598.8</v>
      </c>
      <c r="AD6" s="13" t="n">
        <v>12101598.8</v>
      </c>
      <c r="AF6" s="19" t="n">
        <v>11924223.28</v>
      </c>
      <c r="AG6" s="16" t="n">
        <v>11935226.46</v>
      </c>
      <c r="AH6" s="19" t="n">
        <v>12017945.34</v>
      </c>
      <c r="AJ6" s="19" t="n">
        <v>12167184.94</v>
      </c>
      <c r="AN6" s="16" t="n">
        <v>12281653.56</v>
      </c>
      <c r="AO6" s="16" t="n">
        <v>12172867.06</v>
      </c>
      <c r="AP6" s="16" t="n">
        <v>12170326.94</v>
      </c>
      <c r="AQ6" s="19" t="n">
        <v>12170284.48</v>
      </c>
      <c r="AR6" s="19" t="n">
        <v>12170243.58</v>
      </c>
      <c r="AS6" s="16" t="n">
        <v>12164464.31</v>
      </c>
      <c r="AU6" s="19" t="n">
        <v>12723635.37</v>
      </c>
      <c r="AV6" s="16" t="n">
        <v>13344090.31</v>
      </c>
      <c r="AW6" s="19" t="n">
        <v>13346129.35</v>
      </c>
      <c r="AY6" s="16" t="n">
        <v>56542721.17</v>
      </c>
      <c r="BA6" s="13" t="n">
        <v>12308329.24</v>
      </c>
      <c r="BB6" s="13" t="n">
        <v>12308329.24</v>
      </c>
      <c r="BC6" s="13" t="n">
        <v>12308329.24</v>
      </c>
      <c r="BD6" s="13" t="n">
        <v>12308329.24</v>
      </c>
      <c r="BE6" s="14" t="n">
        <v>12288308.39</v>
      </c>
      <c r="BF6" s="14" t="n">
        <v>12288308.39</v>
      </c>
      <c r="BG6" s="14" t="n">
        <v>12288308.39</v>
      </c>
      <c r="BH6" s="14" t="n">
        <v>12177758.85</v>
      </c>
      <c r="BI6" s="13" t="n">
        <v>12959119.64</v>
      </c>
      <c r="BJ6" s="14" t="n">
        <v>13299745.79</v>
      </c>
      <c r="BL6" s="14" t="n">
        <v>11361446.9</v>
      </c>
      <c r="BM6" s="13" t="n">
        <v>11361446.9</v>
      </c>
      <c r="BN6" s="13" t="n">
        <v>11361446.9</v>
      </c>
      <c r="BO6" s="26" t="n">
        <v>11313302.89</v>
      </c>
      <c r="BP6" s="26" t="n">
        <v>11879211.82</v>
      </c>
    </row>
    <row r="8" customFormat="false" ht="12.8" hidden="false" customHeight="false" outlineLevel="0" collapsed="false">
      <c r="A8" s="1" t="s">
        <v>173</v>
      </c>
    </row>
    <row r="9" customFormat="false" ht="12.8" hidden="false" customHeight="false" outlineLevel="0" collapsed="false">
      <c r="A9" s="1" t="s">
        <v>174</v>
      </c>
      <c r="D9" s="1" t="n">
        <v>57</v>
      </c>
      <c r="E9" s="1" t="n">
        <v>147</v>
      </c>
      <c r="F9" s="1" t="n">
        <v>310</v>
      </c>
      <c r="G9" s="1" t="n">
        <v>121</v>
      </c>
      <c r="H9" s="1" t="n">
        <v>284</v>
      </c>
      <c r="I9" s="1" t="n">
        <v>72</v>
      </c>
      <c r="J9" s="1" t="n">
        <v>174</v>
      </c>
      <c r="K9" s="1" t="n">
        <v>469</v>
      </c>
      <c r="L9" s="1" t="n">
        <v>161</v>
      </c>
      <c r="M9" s="1" t="n">
        <v>365</v>
      </c>
      <c r="N9" s="1" t="n">
        <v>112</v>
      </c>
      <c r="O9" s="1" t="n">
        <v>72</v>
      </c>
      <c r="P9" s="1" t="n">
        <v>148</v>
      </c>
      <c r="Q9" s="1" t="n">
        <v>209</v>
      </c>
      <c r="R9" s="20" t="n">
        <v>494.84</v>
      </c>
      <c r="S9" s="20" t="n">
        <v>494.84</v>
      </c>
      <c r="T9" s="20" t="n">
        <v>75.7</v>
      </c>
      <c r="U9" s="17" t="n">
        <v>492.3</v>
      </c>
      <c r="V9" s="20" t="n">
        <v>75.62</v>
      </c>
      <c r="W9" s="20" t="n">
        <v>494.84</v>
      </c>
      <c r="X9" s="20" t="n">
        <v>75.7</v>
      </c>
      <c r="Y9" s="20"/>
      <c r="Z9" s="20"/>
      <c r="AA9" s="17" t="n">
        <v>341.28</v>
      </c>
      <c r="AB9" s="17" t="n">
        <v>277.88</v>
      </c>
      <c r="AC9" s="20" t="n">
        <v>316.72</v>
      </c>
      <c r="AD9" s="20" t="n">
        <v>316.72</v>
      </c>
      <c r="AF9" s="20" t="n">
        <v>336.96</v>
      </c>
      <c r="AG9" s="17" t="n">
        <v>340.92</v>
      </c>
      <c r="AH9" s="20" t="n">
        <v>341.36</v>
      </c>
      <c r="AJ9" s="20" t="n">
        <v>196.64</v>
      </c>
      <c r="AK9" s="17" t="n">
        <v>212.28</v>
      </c>
      <c r="AL9" s="20" t="n">
        <v>216.12</v>
      </c>
      <c r="AM9" s="17" t="n">
        <v>197</v>
      </c>
      <c r="AN9" s="20" t="n">
        <v>276.76</v>
      </c>
      <c r="AO9" s="17" t="n">
        <v>236.92</v>
      </c>
      <c r="AP9" s="17" t="n">
        <v>193.84</v>
      </c>
      <c r="AQ9" s="20" t="n">
        <v>208.52</v>
      </c>
      <c r="AR9" s="20" t="n">
        <v>279.32</v>
      </c>
      <c r="AS9" s="17" t="n">
        <v>281.1</v>
      </c>
      <c r="AU9" s="20" t="n">
        <v>123.5</v>
      </c>
      <c r="AV9" s="17" t="n">
        <v>135.88</v>
      </c>
      <c r="AW9" s="20" t="n">
        <v>135.88</v>
      </c>
      <c r="AY9" s="17" t="n">
        <v>1233.22</v>
      </c>
      <c r="BA9" s="17" t="n">
        <v>136.18</v>
      </c>
      <c r="BB9" s="17" t="n">
        <v>136.18</v>
      </c>
      <c r="BC9" s="17" t="n">
        <v>136.18</v>
      </c>
      <c r="BD9" s="17" t="n">
        <v>136.18</v>
      </c>
      <c r="BE9" s="17" t="n">
        <v>136.18</v>
      </c>
      <c r="BF9" s="17" t="n">
        <v>136.18</v>
      </c>
      <c r="BG9" s="17" t="n">
        <v>136.18</v>
      </c>
      <c r="BH9" s="20" t="n">
        <v>142.36</v>
      </c>
      <c r="BI9" s="17" t="n">
        <v>132.78</v>
      </c>
      <c r="BJ9" s="20" t="n">
        <v>134.86</v>
      </c>
      <c r="BL9" s="17" t="n">
        <v>431.26</v>
      </c>
      <c r="BM9" s="17" t="n">
        <v>431.26</v>
      </c>
      <c r="BN9" s="17" t="n">
        <v>431.26</v>
      </c>
      <c r="BO9" s="20" t="n">
        <v>431.26</v>
      </c>
      <c r="BP9" s="17" t="n">
        <v>426.82</v>
      </c>
    </row>
    <row r="10" customFormat="false" ht="12.8" hidden="false" customHeight="false" outlineLevel="0" collapsed="false">
      <c r="A10" s="1" t="s">
        <v>175</v>
      </c>
      <c r="D10" s="1" t="n">
        <v>6416</v>
      </c>
      <c r="E10" s="1" t="n">
        <v>5915</v>
      </c>
      <c r="F10" s="1" t="n">
        <v>4527</v>
      </c>
      <c r="G10" s="1" t="n">
        <v>4344</v>
      </c>
      <c r="H10" s="1" t="n">
        <v>9955</v>
      </c>
      <c r="I10" s="1" t="n">
        <v>8431</v>
      </c>
      <c r="J10" s="1" t="n">
        <v>7310</v>
      </c>
      <c r="K10" s="1" t="n">
        <v>5474</v>
      </c>
      <c r="L10" s="1" t="n">
        <v>5798</v>
      </c>
      <c r="M10" s="1" t="n">
        <v>10681</v>
      </c>
      <c r="N10" s="1" t="n">
        <v>5226</v>
      </c>
      <c r="R10" s="19" t="n">
        <v>2862.82</v>
      </c>
      <c r="S10" s="19" t="n">
        <v>8816.84</v>
      </c>
      <c r="T10" s="19" t="n">
        <v>8816.84</v>
      </c>
      <c r="U10" s="19"/>
      <c r="V10" s="19"/>
      <c r="W10" s="19" t="n">
        <v>8816.84</v>
      </c>
      <c r="X10" s="19" t="n">
        <v>8816.84</v>
      </c>
      <c r="Y10" s="19"/>
      <c r="Z10" s="19"/>
      <c r="AA10" s="17"/>
      <c r="AB10" s="17"/>
      <c r="AC10" s="20"/>
      <c r="AD10" s="20"/>
      <c r="AF10" s="2"/>
      <c r="AG10" s="2"/>
      <c r="AH10" s="2"/>
      <c r="AJ10" s="2"/>
      <c r="AK10" s="2"/>
      <c r="AL10" s="2"/>
      <c r="AM10" s="2"/>
      <c r="AN10" s="2"/>
      <c r="AO10" s="2"/>
      <c r="AP10" s="2"/>
      <c r="AQ10" s="2"/>
      <c r="AS10" s="2"/>
      <c r="AU10" s="2"/>
      <c r="AV10" s="2"/>
      <c r="AW10" s="2"/>
      <c r="AY10" s="2"/>
      <c r="BA10" s="2"/>
      <c r="BB10" s="2"/>
      <c r="BC10" s="2"/>
      <c r="BD10" s="2"/>
      <c r="BE10" s="2"/>
      <c r="BF10" s="2"/>
      <c r="BG10" s="2"/>
      <c r="BH10" s="2"/>
      <c r="BI10" s="2"/>
      <c r="BJ10" s="2"/>
      <c r="BO10" s="2"/>
      <c r="BP10" s="2"/>
    </row>
    <row r="11" customFormat="false" ht="12.8" hidden="false" customHeight="false" outlineLevel="0" collapsed="false">
      <c r="A11" s="1" t="s">
        <v>176</v>
      </c>
      <c r="D11" s="1" t="n">
        <v>322099</v>
      </c>
      <c r="E11" s="1" t="n">
        <v>137719</v>
      </c>
      <c r="F11" s="1" t="n">
        <v>99773</v>
      </c>
      <c r="G11" s="1" t="n">
        <v>87012</v>
      </c>
      <c r="H11" s="1" t="n">
        <v>168176</v>
      </c>
      <c r="I11" s="1" t="n">
        <v>352000</v>
      </c>
      <c r="J11" s="1" t="n">
        <v>150000</v>
      </c>
      <c r="K11" s="1" t="n">
        <v>115000</v>
      </c>
      <c r="L11" s="1" t="n">
        <v>94000</v>
      </c>
      <c r="M11" s="1" t="n">
        <v>122000</v>
      </c>
      <c r="N11" s="1" t="n">
        <v>105000</v>
      </c>
      <c r="O11" s="1" t="n">
        <v>351000</v>
      </c>
      <c r="P11" s="1" t="n">
        <v>123000</v>
      </c>
      <c r="Q11" s="1" t="n">
        <v>85000</v>
      </c>
      <c r="R11" s="21" t="n">
        <v>124040</v>
      </c>
      <c r="S11" s="21" t="n">
        <v>466644.2</v>
      </c>
      <c r="T11" s="21" t="n">
        <v>466644.2</v>
      </c>
      <c r="U11" s="21" t="n">
        <v>350845.94</v>
      </c>
      <c r="V11" s="18" t="n">
        <v>351339.22</v>
      </c>
      <c r="W11" s="21" t="n">
        <v>466644.2</v>
      </c>
      <c r="X11" s="21" t="n">
        <v>466644.2</v>
      </c>
      <c r="Y11" s="21"/>
      <c r="Z11" s="21"/>
      <c r="AA11" s="18" t="n">
        <v>112691.32</v>
      </c>
      <c r="AB11" s="18" t="n">
        <v>113940</v>
      </c>
      <c r="AC11" s="21" t="n">
        <v>114973.72</v>
      </c>
      <c r="AD11" s="21" t="n">
        <v>114973.72</v>
      </c>
      <c r="AF11" s="21" t="n">
        <v>113503.12</v>
      </c>
      <c r="AG11" s="18" t="n">
        <v>115892.32</v>
      </c>
      <c r="AH11" s="21" t="n">
        <v>113397.12</v>
      </c>
      <c r="AJ11" s="21" t="n">
        <v>113946.4</v>
      </c>
      <c r="AK11" s="18" t="n">
        <v>113948.52</v>
      </c>
      <c r="AL11" s="21" t="n">
        <v>113951.72</v>
      </c>
      <c r="AM11" s="18" t="n">
        <v>113951.28</v>
      </c>
      <c r="AN11" s="21" t="n">
        <v>114694.04</v>
      </c>
      <c r="AO11" s="18" t="n">
        <v>113942.8</v>
      </c>
      <c r="AP11" s="18" t="n">
        <v>114045.16</v>
      </c>
      <c r="AQ11" s="21" t="n">
        <v>114029.16</v>
      </c>
      <c r="AR11" s="17" t="n">
        <v>113938.24</v>
      </c>
      <c r="AS11" s="18" t="n">
        <v>113799.3</v>
      </c>
      <c r="AU11" s="21" t="n">
        <v>95646.74</v>
      </c>
      <c r="AV11" s="18" t="n">
        <v>100622.34</v>
      </c>
      <c r="AW11" s="21" t="n">
        <v>100540.96</v>
      </c>
      <c r="AY11" s="21" t="n">
        <v>357678.1</v>
      </c>
      <c r="BA11" s="18" t="n">
        <v>93179.02</v>
      </c>
      <c r="BB11" s="18" t="n">
        <v>93179.02</v>
      </c>
      <c r="BC11" s="18" t="n">
        <v>93179.02</v>
      </c>
      <c r="BD11" s="18" t="n">
        <v>93179.02</v>
      </c>
      <c r="BE11" s="18" t="n">
        <v>93180.82</v>
      </c>
      <c r="BF11" s="18" t="n">
        <v>93180.82</v>
      </c>
      <c r="BG11" s="18" t="n">
        <v>93180.82</v>
      </c>
      <c r="BH11" s="21" t="n">
        <v>94467.68</v>
      </c>
      <c r="BI11" s="18" t="n">
        <v>95488.12</v>
      </c>
      <c r="BJ11" s="21" t="n">
        <v>99979.4</v>
      </c>
      <c r="BL11" s="18" t="n">
        <v>189163.04</v>
      </c>
      <c r="BM11" s="18" t="n">
        <v>189163.04</v>
      </c>
      <c r="BN11" s="18" t="n">
        <v>189163.04</v>
      </c>
      <c r="BO11" s="21" t="n">
        <v>189147.24</v>
      </c>
      <c r="BP11" s="18" t="n">
        <v>186631.5</v>
      </c>
    </row>
    <row r="13" customFormat="false" ht="12.8" hidden="false" customHeight="false" outlineLevel="0" collapsed="false">
      <c r="A13" s="1" t="s">
        <v>178</v>
      </c>
    </row>
    <row r="14" customFormat="false" ht="12.8" hidden="false" customHeight="false" outlineLevel="0" collapsed="false">
      <c r="A14" s="1" t="s">
        <v>179</v>
      </c>
    </row>
    <row r="15" customFormat="false" ht="12.8" hidden="false" customHeight="false" outlineLevel="0" collapsed="false">
      <c r="A15" s="1" t="s">
        <v>180</v>
      </c>
      <c r="D15" s="1" t="n">
        <v>276809</v>
      </c>
      <c r="E15" s="1" t="n">
        <v>232509</v>
      </c>
      <c r="F15" s="1" t="n">
        <v>230108</v>
      </c>
      <c r="G15" s="1" t="n">
        <v>224249</v>
      </c>
      <c r="H15" s="1" t="n">
        <v>219022</v>
      </c>
      <c r="I15" s="1" t="n">
        <v>276000</v>
      </c>
      <c r="J15" s="1" t="n">
        <v>233000</v>
      </c>
      <c r="K15" s="1" t="n">
        <v>230000</v>
      </c>
      <c r="L15" s="1" t="n">
        <v>224000</v>
      </c>
      <c r="M15" s="1" t="n">
        <v>219000</v>
      </c>
      <c r="N15" s="1" t="n">
        <v>207000</v>
      </c>
      <c r="O15" s="1" t="n">
        <v>276000</v>
      </c>
      <c r="P15" s="1" t="n">
        <v>230000</v>
      </c>
      <c r="Q15" s="1" t="n">
        <v>232000</v>
      </c>
      <c r="R15" s="13" t="n">
        <v>532743.72</v>
      </c>
      <c r="S15" s="13" t="n">
        <v>532743.72</v>
      </c>
      <c r="T15" s="13" t="n">
        <v>530957.42</v>
      </c>
      <c r="U15" s="13" t="n">
        <v>291922.74</v>
      </c>
      <c r="V15" s="13" t="n">
        <v>276087.16</v>
      </c>
      <c r="W15" s="43" t="n">
        <v>564610.52</v>
      </c>
      <c r="X15" s="13" t="n">
        <v>530957.42</v>
      </c>
      <c r="Y15" s="13"/>
      <c r="Z15" s="13"/>
      <c r="AA15" s="13" t="n">
        <v>231020.72</v>
      </c>
      <c r="AB15" s="13" t="n">
        <v>233574.76</v>
      </c>
      <c r="AC15" s="13" t="n">
        <v>230461.84</v>
      </c>
      <c r="AD15" s="13" t="n">
        <v>230461.84</v>
      </c>
      <c r="BE15" s="16" t="n">
        <v>181316.08</v>
      </c>
    </row>
    <row r="16" customFormat="false" ht="12.8" hidden="false" customHeight="false" outlineLevel="0" collapsed="false">
      <c r="A16" s="1" t="s">
        <v>181</v>
      </c>
      <c r="D16" s="1" t="n">
        <v>3268093</v>
      </c>
      <c r="E16" s="1" t="n">
        <v>681995</v>
      </c>
      <c r="F16" s="1" t="n">
        <v>681989</v>
      </c>
      <c r="G16" s="1" t="n">
        <v>664469</v>
      </c>
      <c r="H16" s="1" t="n">
        <v>660555</v>
      </c>
      <c r="I16" s="1" t="n">
        <v>3268000</v>
      </c>
      <c r="J16" s="1" t="n">
        <v>682000</v>
      </c>
      <c r="K16" s="1" t="n">
        <v>678000</v>
      </c>
      <c r="L16" s="1" t="n">
        <v>664000</v>
      </c>
      <c r="M16" s="1" t="n">
        <v>661000</v>
      </c>
      <c r="N16" s="1" t="n">
        <v>653000</v>
      </c>
      <c r="O16" s="1" t="n">
        <v>3268000</v>
      </c>
      <c r="P16" s="1" t="n">
        <v>682000</v>
      </c>
      <c r="Q16" s="1" t="n">
        <v>663000</v>
      </c>
      <c r="R16" s="14" t="n">
        <v>3433941.28</v>
      </c>
      <c r="S16" s="14" t="n">
        <v>3433941.28</v>
      </c>
      <c r="T16" s="14" t="n">
        <v>3265749.64</v>
      </c>
      <c r="U16" s="13" t="n">
        <v>3436186.5</v>
      </c>
      <c r="V16" s="13" t="n">
        <v>3265722.1</v>
      </c>
      <c r="W16" s="44" t="n">
        <v>3674516.76</v>
      </c>
      <c r="X16" s="14" t="n">
        <v>3265749.64</v>
      </c>
      <c r="Y16" s="14"/>
      <c r="Z16" s="14"/>
      <c r="AA16" s="13" t="n">
        <v>680969.48</v>
      </c>
      <c r="AB16" s="13" t="n">
        <v>680969.72</v>
      </c>
      <c r="AC16" s="13" t="n">
        <v>680816.56</v>
      </c>
      <c r="AD16" s="13" t="n">
        <v>680816.56</v>
      </c>
      <c r="BE16" s="18" t="n">
        <v>736962.46</v>
      </c>
    </row>
    <row r="18" customFormat="false" ht="12.8" hidden="false" customHeight="false" outlineLevel="0" collapsed="false">
      <c r="A18" s="1" t="s">
        <v>182</v>
      </c>
    </row>
    <row r="19" customFormat="false" ht="12.8" hidden="false" customHeight="false" outlineLevel="0" collapsed="false">
      <c r="A19" s="1" t="s">
        <v>183</v>
      </c>
      <c r="B19" s="1" t="n">
        <v>64002</v>
      </c>
      <c r="C19" s="1" t="n">
        <v>34474</v>
      </c>
      <c r="I19" s="1" t="n">
        <v>99396</v>
      </c>
      <c r="J19" s="1" t="n">
        <v>84011</v>
      </c>
      <c r="K19" s="1" t="n">
        <v>84007</v>
      </c>
      <c r="L19" s="1" t="n">
        <v>93543</v>
      </c>
      <c r="M19" s="1" t="n">
        <v>93145</v>
      </c>
      <c r="N19" s="1" t="n">
        <v>78212</v>
      </c>
      <c r="T19" s="19" t="n">
        <v>104244.976666667</v>
      </c>
      <c r="U19" s="19"/>
      <c r="V19" s="19"/>
      <c r="W19" s="19"/>
      <c r="X19" s="19"/>
      <c r="Y19" s="19"/>
      <c r="Z19" s="19"/>
      <c r="AA19" s="1" t="n">
        <v>88594</v>
      </c>
    </row>
    <row r="21" customFormat="false" ht="12.8" hidden="false" customHeight="false" outlineLevel="0" collapsed="false">
      <c r="A21" s="1" t="s">
        <v>184</v>
      </c>
      <c r="BA21" s="2"/>
      <c r="BB21" s="2"/>
      <c r="BC21" s="2"/>
      <c r="BD21" s="2"/>
      <c r="BE21" s="2"/>
      <c r="BF21" s="2"/>
      <c r="BG21" s="2"/>
      <c r="BH21" s="2"/>
      <c r="BI21" s="2"/>
      <c r="BJ21" s="2"/>
      <c r="BK21" s="2"/>
      <c r="BL21" s="2"/>
      <c r="BM21" s="2"/>
      <c r="BN21" s="2"/>
      <c r="BO21" s="2"/>
      <c r="BP21" s="2"/>
    </row>
    <row r="22" customFormat="false" ht="12.8" hidden="false" customHeight="false" outlineLevel="0" collapsed="false">
      <c r="A22" s="1" t="s">
        <v>183</v>
      </c>
      <c r="B22" s="1" t="n">
        <v>9646</v>
      </c>
      <c r="C22" s="1" t="n">
        <v>12085</v>
      </c>
      <c r="D22" s="1" t="n">
        <v>5406</v>
      </c>
      <c r="E22" s="1" t="n">
        <v>6677</v>
      </c>
      <c r="F22" s="1" t="n">
        <v>6880</v>
      </c>
      <c r="G22" s="1" t="n">
        <v>5545</v>
      </c>
      <c r="H22" s="1" t="n">
        <v>5546</v>
      </c>
      <c r="I22" s="1" t="n">
        <v>5406</v>
      </c>
      <c r="J22" s="1" t="n">
        <v>6676</v>
      </c>
      <c r="K22" s="1" t="n">
        <v>6876</v>
      </c>
      <c r="L22" s="1" t="n">
        <v>5545</v>
      </c>
      <c r="M22" s="1" t="n">
        <v>5545</v>
      </c>
      <c r="N22" s="1" t="n">
        <v>6262</v>
      </c>
      <c r="O22" s="1" t="n">
        <v>5406</v>
      </c>
      <c r="P22" s="1" t="n">
        <v>6873</v>
      </c>
      <c r="Q22" s="1" t="n">
        <v>5545</v>
      </c>
      <c r="R22" s="13" t="n">
        <v>6021.14194982534</v>
      </c>
      <c r="S22" s="13" t="n">
        <v>6036.34931724357</v>
      </c>
      <c r="T22" s="13" t="n">
        <v>6035.73801206732</v>
      </c>
      <c r="U22" s="13" t="n">
        <v>5519.09495077803</v>
      </c>
      <c r="V22" s="13" t="n">
        <v>5338.64782470626</v>
      </c>
      <c r="W22" s="13" t="n">
        <v>6050.23753572563</v>
      </c>
      <c r="X22" s="13" t="n">
        <v>6035.73801206732</v>
      </c>
      <c r="AA22" s="13" t="n">
        <v>6900.75579549063</v>
      </c>
      <c r="AB22" s="13" t="n">
        <v>6910.56906954589</v>
      </c>
      <c r="AC22" s="13" t="n">
        <v>6884.14290250873</v>
      </c>
      <c r="AD22" s="13" t="n">
        <v>6884.14290250873</v>
      </c>
      <c r="AF22" s="18" t="n">
        <v>6901.18323277231</v>
      </c>
      <c r="AG22" s="21" t="n">
        <v>6900.67767545252</v>
      </c>
      <c r="AH22" s="18" t="n">
        <v>6900.647189584</v>
      </c>
      <c r="AJ22" s="18" t="n">
        <v>7406.53413782153</v>
      </c>
      <c r="AN22" s="21" t="n">
        <v>6910.55382661162</v>
      </c>
      <c r="AO22" s="21" t="n">
        <v>7183.7440457288</v>
      </c>
      <c r="AP22" s="21" t="n">
        <v>7078.55827246745</v>
      </c>
      <c r="AQ22" s="18" t="n">
        <v>6954.52588123214</v>
      </c>
      <c r="AR22" s="18" t="n">
        <v>6907.25881232137</v>
      </c>
      <c r="AS22" s="21" t="n">
        <v>7568.12607176882</v>
      </c>
      <c r="AU22" s="18" t="n">
        <v>5504.78723404255</v>
      </c>
      <c r="AV22" s="21" t="n">
        <v>7263.5982851699</v>
      </c>
      <c r="AW22" s="18" t="n">
        <v>6768.02858050175</v>
      </c>
      <c r="AY22" s="21" t="n">
        <v>5712.59129882502</v>
      </c>
      <c r="BA22" s="14" t="n">
        <v>5470.33788504287</v>
      </c>
      <c r="BB22" s="14" t="n">
        <v>5470.33788504287</v>
      </c>
      <c r="BC22" s="14" t="n">
        <v>5470.33788504287</v>
      </c>
      <c r="BD22" s="14" t="n">
        <v>5470.33788504287</v>
      </c>
      <c r="BE22" s="13" t="n">
        <v>5470.32867577009</v>
      </c>
      <c r="BF22" s="13" t="n">
        <v>5470.32867577009</v>
      </c>
      <c r="BG22" s="13" t="n">
        <v>5470.32867577009</v>
      </c>
      <c r="BH22" s="13" t="n">
        <v>5470.33026357574</v>
      </c>
      <c r="BI22" s="14" t="n">
        <v>5489.70847888219</v>
      </c>
      <c r="BJ22" s="13" t="n">
        <v>5557.28389965068</v>
      </c>
      <c r="BL22" s="13" t="n">
        <v>5523.63702762782</v>
      </c>
      <c r="BM22" s="14" t="n">
        <v>5523.63702762782</v>
      </c>
      <c r="BN22" s="14" t="n">
        <v>5523.63702762782</v>
      </c>
      <c r="BO22" s="14" t="n">
        <v>5516.0342966021</v>
      </c>
      <c r="BP22" s="14" t="n">
        <v>5682.68243886948</v>
      </c>
    </row>
    <row r="24" customFormat="false" ht="12.8" hidden="false" customHeight="false" outlineLevel="0" collapsed="false">
      <c r="A24" s="1" t="s">
        <v>187</v>
      </c>
      <c r="E24" s="1" t="n">
        <f aca="false">AVERAGE(E9,E11,E15,E16,E22)</f>
        <v>211809.4</v>
      </c>
      <c r="F24" s="1" t="n">
        <f aca="false">AVERAGE(F9,F11,F15,F16,F22)</f>
        <v>203812</v>
      </c>
      <c r="G24" s="1" t="n">
        <f aca="false">AVERAGE(G9,G11,G15,G16,G22)</f>
        <v>196279.2</v>
      </c>
      <c r="H24" s="1" t="n">
        <f aca="false">AVERAGE(H9,H11,H15,H16,H22)</f>
        <v>210716.6</v>
      </c>
      <c r="I24" s="1" t="n">
        <f aca="false">AVERAGE(I9,I11,I15,I16,I22)</f>
        <v>780295.6</v>
      </c>
      <c r="J24" s="1" t="n">
        <f aca="false">AVERAGE(J9,J11,J15,J16,J22)</f>
        <v>214370</v>
      </c>
      <c r="K24" s="1" t="n">
        <f aca="false">AVERAGE(K9,K11,K15,K16,K22)</f>
        <v>206069</v>
      </c>
      <c r="L24" s="1" t="n">
        <f aca="false">AVERAGE(L9,L11,L15,L16,L22)</f>
        <v>197541.2</v>
      </c>
      <c r="M24" s="1" t="n">
        <f aca="false">AVERAGE(M9,M11,M15,M16,M22)</f>
        <v>201582</v>
      </c>
      <c r="N24" s="1" t="n">
        <f aca="false">AVERAGE(N9,N11,N15,N16,N22)</f>
        <v>194274.8</v>
      </c>
      <c r="O24" s="1" t="n">
        <f aca="false">AVERAGE(O9,O11,O15,O16,O22)</f>
        <v>780095.6</v>
      </c>
      <c r="P24" s="1" t="n">
        <f aca="false">AVERAGE(P9,P11,P15,P16,P22)</f>
        <v>208404.2</v>
      </c>
      <c r="Q24" s="1" t="n">
        <f aca="false">AVERAGE(Q9,Q11,Q15,Q16,Q22)</f>
        <v>197150.8</v>
      </c>
      <c r="R24" s="1" t="n">
        <f aca="false">AVERAGE(R9,R11,R15,R16,R22)</f>
        <v>819448.196389965</v>
      </c>
      <c r="S24" s="1" t="n">
        <f aca="false">AVERAGE(S9,S11,S15,S16,S22)</f>
        <v>887972.077863449</v>
      </c>
      <c r="T24" s="1" t="n">
        <f aca="false">AVERAGE(T9,T11,T15,T16,T22)</f>
        <v>853892.539602414</v>
      </c>
      <c r="U24" s="1" t="n">
        <f aca="false">AVERAGE(U9,U11,U15,U16,U22)</f>
        <v>816993.314990156</v>
      </c>
      <c r="V24" s="1" t="n">
        <f aca="false">AVERAGE(V9,V11,V15,V16,V22)</f>
        <v>779712.549564941</v>
      </c>
      <c r="W24" s="1" t="n">
        <f aca="false">AVERAGE(W9,W11,W15,W16,W22)</f>
        <v>942463.311507145</v>
      </c>
      <c r="X24" s="1" t="n">
        <f aca="false">AVERAGE(X9,X11,X15,X16,X22)</f>
        <v>853892.539602414</v>
      </c>
      <c r="AA24" s="1" t="n">
        <f aca="false">AVERAGE(AA9,AA11,AA15,AA16,AA22)</f>
        <v>206384.711159098</v>
      </c>
      <c r="AB24" s="1" t="n">
        <f aca="false">AVERAGE(AB9,AB11,AB15,AB16,AB22)</f>
        <v>207134.585813909</v>
      </c>
      <c r="AC24" s="1" t="n">
        <f aca="false">AVERAGE(AC9,AC11,AC15,AC16,AC22)</f>
        <v>206690.596580502</v>
      </c>
      <c r="AD24" s="1" t="n">
        <f aca="false">AVERAGE(AD9,AD11,AD15,AD16,AD22)</f>
        <v>206690.596580502</v>
      </c>
    </row>
    <row r="25" customFormat="false" ht="12.8" hidden="false" customHeight="false" outlineLevel="0" collapsed="false">
      <c r="A25" s="1" t="s">
        <v>188</v>
      </c>
      <c r="O25" s="1" t="n">
        <f aca="false">AVERAGE(O6,O9,O11,O15,O16,O22,)</f>
        <v>2778639.71428571</v>
      </c>
      <c r="P25" s="1" t="n">
        <f aca="false">AVERAGE(P6,P9,P11,P15,P16,P22,)</f>
        <v>1942574.42857143</v>
      </c>
      <c r="Q25" s="1" t="n">
        <f aca="false">AVERAGE(Q6,Q9,Q11,Q15,Q16,Q22,)</f>
        <v>1702250.57142857</v>
      </c>
      <c r="U25" s="1" t="n">
        <f aca="false">AVERAGE(U6,U9,U11,U15,U16,U22,)</f>
        <v>3101819.14213583</v>
      </c>
      <c r="V25" s="1" t="n">
        <f aca="false">AVERAGE(V6,V9,V11,V15,V16,V22,)</f>
        <v>2770876.00254639</v>
      </c>
      <c r="AA25" s="1" t="n">
        <f aca="false">AVERAGE(AA6,AA9,AA11,AA15,AA16,AA22,)</f>
        <v>1850506.6822565</v>
      </c>
      <c r="AB25" s="1" t="n">
        <f aca="false">AVERAGE(AB6,AB9,AB11,AB15,AB16,AB22,)</f>
        <v>1886559.63272422</v>
      </c>
      <c r="AC25" s="1" t="n">
        <f aca="false">AVERAGE(AC6,AC9,AC11,AC15,AC16,AC22,)</f>
        <v>1876435.96898607</v>
      </c>
      <c r="AD25" s="1" t="n">
        <f aca="false">AVERAGE(AD6,AD9,AD11,AD15,AD16,AD22,)</f>
        <v>1876435.96898607</v>
      </c>
    </row>
    <row r="26" customFormat="false" ht="12.8" hidden="false" customHeight="false" outlineLevel="0" collapsed="false">
      <c r="T26" s="1" t="s">
        <v>253</v>
      </c>
    </row>
    <row r="27" customFormat="false" ht="12.8" hidden="false" customHeight="false" outlineLevel="0" collapsed="false">
      <c r="T27" s="1" t="s">
        <v>254</v>
      </c>
    </row>
    <row r="30" customFormat="false" ht="12.8" hidden="false" customHeight="false" outlineLevel="0" collapsed="false">
      <c r="O30" s="1" t="s">
        <v>189</v>
      </c>
    </row>
    <row r="33" customFormat="false" ht="12.8" hidden="false" customHeight="false" outlineLevel="0" collapsed="false">
      <c r="T33" s="1" t="s">
        <v>255</v>
      </c>
    </row>
    <row r="35" customFormat="false" ht="12.8" hidden="false" customHeight="false" outlineLevel="0" collapsed="false">
      <c r="A35" s="4" t="s">
        <v>190</v>
      </c>
      <c r="I35" s="2"/>
      <c r="J35" s="2"/>
      <c r="K35" s="2"/>
      <c r="O35" s="1" t="s">
        <v>17</v>
      </c>
      <c r="R35" s="1" t="s">
        <v>201</v>
      </c>
      <c r="AY35" s="2"/>
    </row>
    <row r="36" customFormat="false" ht="12.8" hidden="false" customHeight="false" outlineLevel="0" collapsed="false">
      <c r="A36" s="1" t="s">
        <v>160</v>
      </c>
      <c r="I36" s="2"/>
      <c r="J36" s="2"/>
      <c r="K36" s="2"/>
      <c r="O36" s="1" t="s">
        <v>80</v>
      </c>
      <c r="P36" s="1" t="s">
        <v>87</v>
      </c>
      <c r="Q36" s="1" t="s">
        <v>88</v>
      </c>
      <c r="R36" s="1" t="s">
        <v>223</v>
      </c>
      <c r="S36" s="1" t="s">
        <v>224</v>
      </c>
      <c r="T36" s="1" t="s">
        <v>225</v>
      </c>
      <c r="U36" s="5" t="s">
        <v>90</v>
      </c>
      <c r="V36" s="5" t="s">
        <v>91</v>
      </c>
      <c r="W36" s="1" t="s">
        <v>226</v>
      </c>
      <c r="X36" s="1" t="s">
        <v>227</v>
      </c>
      <c r="AA36" s="1" t="s">
        <v>109</v>
      </c>
      <c r="AB36" s="1" t="s">
        <v>110</v>
      </c>
      <c r="AC36" s="1" t="s">
        <v>111</v>
      </c>
      <c r="AD36" s="7" t="s">
        <v>112</v>
      </c>
    </row>
    <row r="37" customFormat="false" ht="12.8" hidden="false" customHeight="false" outlineLevel="0" collapsed="false">
      <c r="A37" s="1" t="s">
        <v>170</v>
      </c>
      <c r="I37" s="2"/>
      <c r="J37" s="2"/>
      <c r="K37" s="2"/>
      <c r="R37" s="14" t="n">
        <v>6821240</v>
      </c>
      <c r="S37" s="14" t="n">
        <v>6821240</v>
      </c>
      <c r="T37" s="14" t="n">
        <v>6821240</v>
      </c>
      <c r="U37" s="26" t="n">
        <v>6821240</v>
      </c>
      <c r="V37" s="14" t="n">
        <v>6821240</v>
      </c>
      <c r="W37" s="14" t="n">
        <v>6821240</v>
      </c>
      <c r="X37" s="14" t="n">
        <v>6821240</v>
      </c>
      <c r="Y37" s="14"/>
      <c r="Z37" s="14"/>
      <c r="AA37" s="26" t="n">
        <v>2543520</v>
      </c>
      <c r="AB37" s="14" t="n">
        <v>5696458</v>
      </c>
      <c r="AD37" s="1" t="n">
        <v>5229755</v>
      </c>
    </row>
    <row r="38" customFormat="false" ht="12.8" hidden="false" customHeight="false" outlineLevel="0" collapsed="false">
      <c r="A38" s="1" t="s">
        <v>198</v>
      </c>
      <c r="H38" s="19"/>
      <c r="I38" s="2"/>
      <c r="O38" s="1" t="n">
        <v>14700000</v>
      </c>
      <c r="P38" s="1" t="n">
        <v>11739000</v>
      </c>
      <c r="Q38" s="1" t="n">
        <v>10720000</v>
      </c>
      <c r="R38" s="2"/>
      <c r="S38" s="2"/>
      <c r="T38" s="2"/>
      <c r="U38" s="26" t="n">
        <v>14700187.95</v>
      </c>
      <c r="V38" s="26" t="n">
        <v>14700187.95</v>
      </c>
      <c r="W38" s="2"/>
      <c r="X38" s="2"/>
      <c r="Y38" s="2"/>
      <c r="Z38" s="2"/>
      <c r="AA38" s="26" t="n">
        <v>11794666.86</v>
      </c>
      <c r="AB38" s="26" t="n">
        <v>12165164.94</v>
      </c>
      <c r="AC38" s="26" t="n">
        <v>12101597.82</v>
      </c>
      <c r="AD38" s="26" t="n">
        <v>12101597.82</v>
      </c>
      <c r="AF38" s="19" t="n">
        <v>11792521.98</v>
      </c>
      <c r="AG38" s="19" t="n">
        <v>11791053.94</v>
      </c>
      <c r="AH38" s="19" t="n">
        <v>11791384.88</v>
      </c>
      <c r="AJ38" s="19" t="n">
        <v>12164748.44</v>
      </c>
      <c r="AN38" s="19" t="n">
        <v>12256941.44</v>
      </c>
      <c r="AO38" s="19" t="n">
        <v>12164725.26</v>
      </c>
      <c r="AP38" s="19" t="n">
        <v>12165168.5</v>
      </c>
      <c r="AQ38" s="19" t="n">
        <v>12165258.22</v>
      </c>
      <c r="AR38" s="19" t="n">
        <v>12165165.4</v>
      </c>
      <c r="AS38" s="19" t="n">
        <v>12160778.6</v>
      </c>
      <c r="AU38" s="19" t="n">
        <v>12723473.22</v>
      </c>
      <c r="AV38" s="19" t="n">
        <v>13343056.18</v>
      </c>
      <c r="AW38" s="19" t="n">
        <v>13345094.93</v>
      </c>
      <c r="AY38" s="19" t="n">
        <v>56542720.17</v>
      </c>
      <c r="BA38" s="26" t="n">
        <v>12275967.92</v>
      </c>
      <c r="BB38" s="26" t="n">
        <v>12275967.92</v>
      </c>
      <c r="BC38" s="26" t="n">
        <v>12275967.92</v>
      </c>
      <c r="BD38" s="26" t="n">
        <v>12275967.92</v>
      </c>
      <c r="BE38" s="14" t="n">
        <v>12256991.9</v>
      </c>
      <c r="BF38" s="14" t="n">
        <v>12256991.9</v>
      </c>
      <c r="BG38" s="14" t="n">
        <v>12256991.9</v>
      </c>
      <c r="BH38" s="14" t="n">
        <v>12174192.35</v>
      </c>
      <c r="BI38" s="26" t="n">
        <v>12950883.21</v>
      </c>
      <c r="BJ38" s="14" t="n">
        <v>13300813.99</v>
      </c>
      <c r="BL38" s="14" t="n">
        <v>11316120.2</v>
      </c>
      <c r="BM38" s="26" t="n">
        <v>11316120.2</v>
      </c>
      <c r="BN38" s="26" t="n">
        <v>11316120.2</v>
      </c>
      <c r="BO38" s="13" t="n">
        <v>11358631.75</v>
      </c>
      <c r="BP38" s="13" t="n">
        <v>11924505.65</v>
      </c>
    </row>
    <row r="39" customFormat="false" ht="12.8" hidden="false" customHeight="false" outlineLevel="0" collapsed="false">
      <c r="H39" s="2"/>
    </row>
    <row r="40" customFormat="false" ht="12.8" hidden="false" customHeight="false" outlineLevel="0" collapsed="false">
      <c r="A40" s="1" t="s">
        <v>192</v>
      </c>
      <c r="H40" s="2"/>
    </row>
    <row r="41" customFormat="false" ht="12.8" hidden="false" customHeight="false" outlineLevel="0" collapsed="false">
      <c r="A41" s="1" t="s">
        <v>174</v>
      </c>
      <c r="I41" s="19"/>
      <c r="O41" s="1" t="n">
        <v>46</v>
      </c>
      <c r="P41" s="1" t="n">
        <v>66</v>
      </c>
      <c r="Q41" s="1" t="n">
        <v>47</v>
      </c>
      <c r="R41" s="20" t="n">
        <v>45.56</v>
      </c>
      <c r="S41" s="20" t="n">
        <v>45.56</v>
      </c>
      <c r="T41" s="20" t="n">
        <v>45.56</v>
      </c>
      <c r="U41" s="27" t="n">
        <v>45.56</v>
      </c>
      <c r="V41" s="20" t="n">
        <v>45.56</v>
      </c>
      <c r="W41" s="20" t="n">
        <v>45.56</v>
      </c>
      <c r="X41" s="20" t="n">
        <v>45.56</v>
      </c>
      <c r="Y41" s="20"/>
      <c r="Z41" s="20"/>
      <c r="AA41" s="27" t="n">
        <v>61.44</v>
      </c>
      <c r="AB41" s="27" t="n">
        <v>265.32</v>
      </c>
      <c r="AC41" s="20" t="n">
        <v>309.4</v>
      </c>
      <c r="AD41" s="20" t="n">
        <v>309.4</v>
      </c>
      <c r="AF41" s="20" t="n">
        <v>61.44</v>
      </c>
      <c r="AG41" s="27" t="n">
        <v>61.44</v>
      </c>
      <c r="AH41" s="20" t="n">
        <v>61.44</v>
      </c>
      <c r="AJ41" s="20" t="n">
        <v>185.6</v>
      </c>
      <c r="AK41" s="27" t="n">
        <v>201.56</v>
      </c>
      <c r="AL41" s="20" t="n">
        <v>204.4</v>
      </c>
      <c r="AM41" s="27" t="n">
        <v>186</v>
      </c>
      <c r="AN41" s="20" t="n">
        <v>264.56</v>
      </c>
      <c r="AO41" s="27" t="n">
        <v>224.88</v>
      </c>
      <c r="AP41" s="27" t="n">
        <v>186.06</v>
      </c>
      <c r="AQ41" s="20" t="n">
        <v>201.66</v>
      </c>
      <c r="AR41" s="20" t="n">
        <v>271.4</v>
      </c>
      <c r="AS41" s="27" t="n">
        <v>273.06</v>
      </c>
      <c r="AU41" s="20" t="n">
        <v>118.46</v>
      </c>
      <c r="AV41" s="27" t="n">
        <v>117.96</v>
      </c>
      <c r="AW41" s="20" t="n">
        <v>117.96</v>
      </c>
      <c r="AY41" s="20" t="n">
        <v>1231.86</v>
      </c>
      <c r="BA41" s="27" t="n">
        <v>101.44</v>
      </c>
      <c r="BB41" s="27" t="n">
        <v>101.44</v>
      </c>
      <c r="BC41" s="27" t="n">
        <v>101.44</v>
      </c>
      <c r="BD41" s="27" t="n">
        <v>101.44</v>
      </c>
      <c r="BE41" s="27" t="n">
        <v>101.44</v>
      </c>
      <c r="BF41" s="27" t="n">
        <v>101.44</v>
      </c>
      <c r="BG41" s="27" t="n">
        <v>101.44</v>
      </c>
      <c r="BH41" s="20" t="n">
        <v>106.08</v>
      </c>
      <c r="BI41" s="27" t="n">
        <v>100.92</v>
      </c>
      <c r="BJ41" s="20" t="n">
        <v>117.18</v>
      </c>
      <c r="BL41" s="27" t="n">
        <v>337.28</v>
      </c>
      <c r="BM41" s="27" t="n">
        <v>337.28</v>
      </c>
      <c r="BN41" s="27" t="n">
        <v>337.28</v>
      </c>
      <c r="BO41" s="20" t="n">
        <v>337.28</v>
      </c>
      <c r="BP41" s="27" t="n">
        <v>338.06</v>
      </c>
    </row>
    <row r="42" customFormat="false" ht="12.8" hidden="false" customHeight="false" outlineLevel="0" collapsed="false">
      <c r="A42" s="1" t="s">
        <v>175</v>
      </c>
      <c r="J42" s="19"/>
      <c r="K42" s="19"/>
      <c r="R42" s="19" t="n">
        <v>2862.82</v>
      </c>
      <c r="S42" s="19" t="n">
        <v>8816.84</v>
      </c>
      <c r="T42" s="19" t="n">
        <v>8816.84</v>
      </c>
      <c r="U42" s="19"/>
      <c r="V42" s="19"/>
      <c r="W42" s="19" t="n">
        <v>8816.84</v>
      </c>
      <c r="X42" s="19" t="n">
        <v>8816.84</v>
      </c>
      <c r="Y42" s="19"/>
      <c r="Z42" s="19"/>
      <c r="AA42" s="27"/>
      <c r="AB42" s="27"/>
      <c r="AC42" s="20"/>
      <c r="AD42" s="20"/>
      <c r="AF42" s="2"/>
      <c r="AG42" s="2"/>
      <c r="AH42" s="2"/>
      <c r="AJ42" s="2"/>
      <c r="AK42" s="2"/>
      <c r="AL42" s="2"/>
      <c r="AM42" s="2"/>
      <c r="AN42" s="2"/>
      <c r="AO42" s="2"/>
      <c r="AP42" s="2"/>
      <c r="AQ42" s="2"/>
      <c r="AS42" s="2"/>
      <c r="AU42" s="2"/>
      <c r="AV42" s="2"/>
      <c r="AW42" s="2"/>
      <c r="AY42" s="2"/>
      <c r="BA42" s="2"/>
      <c r="BB42" s="2"/>
      <c r="BC42" s="2"/>
      <c r="BD42" s="2"/>
      <c r="BE42" s="2"/>
      <c r="BF42" s="2"/>
      <c r="BG42" s="2"/>
      <c r="BH42" s="2"/>
      <c r="BI42" s="2"/>
      <c r="BJ42" s="2"/>
      <c r="BL42" s="2"/>
      <c r="BM42" s="2"/>
      <c r="BN42" s="2"/>
      <c r="BO42" s="2"/>
      <c r="BP42" s="2"/>
    </row>
    <row r="43" customFormat="false" ht="12.8" hidden="false" customHeight="false" outlineLevel="0" collapsed="false">
      <c r="A43" s="1" t="s">
        <v>176</v>
      </c>
      <c r="J43" s="19"/>
      <c r="K43" s="19"/>
      <c r="O43" s="1" t="n">
        <v>348000</v>
      </c>
      <c r="P43" s="1" t="n">
        <v>122000</v>
      </c>
      <c r="Q43" s="1" t="n">
        <v>84000</v>
      </c>
      <c r="R43" s="21" t="n">
        <v>124040</v>
      </c>
      <c r="S43" s="21" t="n">
        <v>466644.2</v>
      </c>
      <c r="T43" s="21" t="n">
        <v>466644.2</v>
      </c>
      <c r="U43" s="21" t="n">
        <v>348020.34</v>
      </c>
      <c r="V43" s="30" t="n">
        <v>348020.34</v>
      </c>
      <c r="W43" s="21" t="n">
        <v>466644.2</v>
      </c>
      <c r="X43" s="21" t="n">
        <v>466644.2</v>
      </c>
      <c r="Y43" s="21"/>
      <c r="Z43" s="21"/>
      <c r="AA43" s="30" t="n">
        <v>112136.52</v>
      </c>
      <c r="AB43" s="30" t="n">
        <v>113887</v>
      </c>
      <c r="AC43" s="21" t="n">
        <v>114973.56</v>
      </c>
      <c r="AD43" s="21" t="n">
        <v>114973.56</v>
      </c>
      <c r="AF43" s="21" t="n">
        <v>112136.52</v>
      </c>
      <c r="AG43" s="30" t="n">
        <v>112136.52</v>
      </c>
      <c r="AH43" s="21" t="n">
        <v>112136.52</v>
      </c>
      <c r="AJ43" s="21" t="n">
        <v>113898.16</v>
      </c>
      <c r="AK43" s="30" t="n">
        <v>113898.08</v>
      </c>
      <c r="AL43" s="21" t="n">
        <v>113898</v>
      </c>
      <c r="AM43" s="30" t="n">
        <v>113898.16</v>
      </c>
      <c r="AN43" s="21" t="n">
        <v>113887</v>
      </c>
      <c r="AO43" s="30" t="n">
        <v>113891.32</v>
      </c>
      <c r="AP43" s="30" t="n">
        <v>113979.44</v>
      </c>
      <c r="AQ43" s="21" t="n">
        <v>113978.58</v>
      </c>
      <c r="AR43" s="20" t="n">
        <v>113885.26</v>
      </c>
      <c r="AS43" s="30" t="n">
        <v>113742.42</v>
      </c>
      <c r="AU43" s="21" t="n">
        <v>95450.26</v>
      </c>
      <c r="AV43" s="30" t="n">
        <v>100420.94</v>
      </c>
      <c r="AW43" s="21" t="n">
        <v>100339.56</v>
      </c>
      <c r="AY43" s="21" t="n">
        <v>357556.92</v>
      </c>
      <c r="BA43" s="30" t="n">
        <v>92658.78</v>
      </c>
      <c r="BB43" s="30" t="n">
        <v>92658.78</v>
      </c>
      <c r="BC43" s="30" t="n">
        <v>92658.78</v>
      </c>
      <c r="BD43" s="30" t="n">
        <v>92658.78</v>
      </c>
      <c r="BE43" s="30" t="n">
        <v>92660.96</v>
      </c>
      <c r="BF43" s="30" t="n">
        <v>92660.96</v>
      </c>
      <c r="BG43" s="30" t="n">
        <v>92660.96</v>
      </c>
      <c r="BH43" s="21" t="n">
        <v>94039.94</v>
      </c>
      <c r="BI43" s="30" t="n">
        <v>95076.96</v>
      </c>
      <c r="BJ43" s="21" t="n">
        <v>99756.52</v>
      </c>
      <c r="BL43" s="30" t="n">
        <v>140559.48</v>
      </c>
      <c r="BM43" s="30" t="n">
        <v>140559.48</v>
      </c>
      <c r="BN43" s="30" t="n">
        <v>140559.48</v>
      </c>
      <c r="BO43" s="21" t="n">
        <v>140543.68</v>
      </c>
      <c r="BP43" s="30" t="n">
        <v>140548.72</v>
      </c>
    </row>
    <row r="44" customFormat="false" ht="12.8" hidden="false" customHeight="false" outlineLevel="0" collapsed="false">
      <c r="J44" s="19"/>
      <c r="K44" s="19"/>
    </row>
    <row r="45" customFormat="false" ht="12.8" hidden="false" customHeight="false" outlineLevel="0" collapsed="false">
      <c r="A45" s="1" t="s">
        <v>178</v>
      </c>
    </row>
    <row r="46" customFormat="false" ht="12.8" hidden="false" customHeight="false" outlineLevel="0" collapsed="false">
      <c r="A46" s="1" t="s">
        <v>179</v>
      </c>
    </row>
    <row r="47" customFormat="false" ht="12.8" hidden="false" customHeight="false" outlineLevel="0" collapsed="false">
      <c r="A47" s="1" t="s">
        <v>180</v>
      </c>
      <c r="O47" s="1" t="n">
        <v>276000</v>
      </c>
      <c r="P47" s="1" t="n">
        <v>230000</v>
      </c>
      <c r="Q47" s="1" t="n">
        <v>232000</v>
      </c>
      <c r="R47" s="26" t="n">
        <v>480670.02</v>
      </c>
      <c r="S47" s="26" t="n">
        <v>480670.02</v>
      </c>
      <c r="T47" s="26" t="n">
        <v>480670.02</v>
      </c>
      <c r="U47" s="26" t="n">
        <v>276081.3</v>
      </c>
      <c r="V47" s="26" t="n">
        <v>276081.3</v>
      </c>
      <c r="W47" s="26" t="n">
        <v>480670.02</v>
      </c>
      <c r="X47" s="26" t="n">
        <v>480670.02</v>
      </c>
      <c r="Y47" s="26"/>
      <c r="Z47" s="26"/>
      <c r="AA47" s="26" t="n">
        <v>231020.72</v>
      </c>
      <c r="AB47" s="26" t="n">
        <v>233574.76</v>
      </c>
      <c r="AC47" s="26" t="n">
        <v>230461.8</v>
      </c>
      <c r="AD47" s="26" t="n">
        <v>230461.8</v>
      </c>
    </row>
    <row r="48" customFormat="false" ht="12.8" hidden="false" customHeight="false" outlineLevel="0" collapsed="false">
      <c r="A48" s="1" t="s">
        <v>181</v>
      </c>
      <c r="J48" s="19"/>
      <c r="K48" s="19"/>
      <c r="O48" s="1" t="n">
        <v>3239000</v>
      </c>
      <c r="P48" s="1" t="n">
        <v>662000</v>
      </c>
      <c r="Q48" s="1" t="n">
        <v>635000</v>
      </c>
      <c r="R48" s="14" t="n">
        <v>3239287.04</v>
      </c>
      <c r="S48" s="14" t="n">
        <v>3239287.04</v>
      </c>
      <c r="T48" s="14" t="n">
        <v>3239287.04</v>
      </c>
      <c r="U48" s="26" t="n">
        <v>3239287.04</v>
      </c>
      <c r="V48" s="26" t="n">
        <v>3239287.04</v>
      </c>
      <c r="W48" s="14" t="n">
        <v>3239287.04</v>
      </c>
      <c r="X48" s="14" t="n">
        <v>3239287.04</v>
      </c>
      <c r="Y48" s="14"/>
      <c r="Z48" s="14"/>
      <c r="AA48" s="26" t="n">
        <v>663108.24</v>
      </c>
      <c r="AB48" s="26" t="n">
        <v>663124.76</v>
      </c>
      <c r="AC48" s="26" t="n">
        <v>662847.08</v>
      </c>
      <c r="AD48" s="26" t="n">
        <v>662847.08</v>
      </c>
      <c r="AE48" s="2"/>
    </row>
    <row r="49" customFormat="false" ht="12.8" hidden="false" customHeight="false" outlineLevel="0" collapsed="false">
      <c r="J49" s="19"/>
      <c r="K49" s="19"/>
    </row>
    <row r="50" customFormat="false" ht="12.8" hidden="false" customHeight="false" outlineLevel="0" collapsed="false">
      <c r="A50" s="1" t="s">
        <v>182</v>
      </c>
    </row>
    <row r="51" customFormat="false" ht="12.8" hidden="false" customHeight="false" outlineLevel="0" collapsed="false">
      <c r="A51" s="1" t="s">
        <v>183</v>
      </c>
    </row>
    <row r="53" customFormat="false" ht="12.8" hidden="false" customHeight="false" outlineLevel="0" collapsed="false">
      <c r="A53" s="1" t="s">
        <v>184</v>
      </c>
      <c r="AO53" s="2"/>
      <c r="AP53" s="2"/>
      <c r="AQ53" s="2"/>
      <c r="AR53" s="2"/>
      <c r="AS53" s="2"/>
      <c r="AT53" s="2"/>
      <c r="AU53" s="2"/>
      <c r="AV53" s="2"/>
      <c r="AW53" s="2"/>
      <c r="AX53" s="2"/>
      <c r="AY53" s="2"/>
      <c r="AZ53" s="2"/>
      <c r="BA53" s="2"/>
      <c r="BB53" s="2"/>
      <c r="BC53" s="2"/>
      <c r="BD53" s="2"/>
      <c r="BE53" s="2"/>
      <c r="BF53" s="2"/>
      <c r="BG53" s="2"/>
      <c r="BH53" s="2"/>
      <c r="BI53" s="2"/>
      <c r="BJ53" s="2"/>
      <c r="BK53" s="2"/>
      <c r="BL53" s="2"/>
      <c r="BM53" s="2"/>
      <c r="BN53" s="2"/>
      <c r="BO53" s="2"/>
      <c r="BP53" s="2"/>
    </row>
    <row r="54" customFormat="false" ht="12.8" hidden="false" customHeight="false" outlineLevel="0" collapsed="false">
      <c r="A54" s="1" t="s">
        <v>183</v>
      </c>
      <c r="O54" s="1" t="n">
        <v>5322</v>
      </c>
      <c r="P54" s="1" t="n">
        <v>6556</v>
      </c>
      <c r="Q54" s="1" t="n">
        <v>5151</v>
      </c>
      <c r="R54" s="26" t="n">
        <v>6019.16513178787</v>
      </c>
      <c r="S54" s="26" t="n">
        <v>6034.3724992061</v>
      </c>
      <c r="T54" s="26" t="n">
        <v>6034.3724992061</v>
      </c>
      <c r="U54" s="26" t="n">
        <v>5246.35535090505</v>
      </c>
      <c r="V54" s="26" t="n">
        <v>5246.35535090505</v>
      </c>
      <c r="W54" s="26" t="n">
        <v>6034.3724992061</v>
      </c>
      <c r="X54" s="26" t="n">
        <v>6034.3724992061</v>
      </c>
      <c r="AA54" s="26" t="n">
        <v>6745.82089552239</v>
      </c>
      <c r="AB54" s="26" t="n">
        <v>6866.40203239124</v>
      </c>
      <c r="AC54" s="26" t="n">
        <v>6848.5265163544</v>
      </c>
      <c r="AD54" s="26" t="n">
        <v>6848.5265163544</v>
      </c>
      <c r="AF54" s="21" t="n">
        <v>6745.73705938393</v>
      </c>
      <c r="AG54" s="21" t="n">
        <v>6745.510955859</v>
      </c>
      <c r="AH54" s="21" t="n">
        <v>6745.54271197205</v>
      </c>
      <c r="AJ54" s="21" t="n">
        <v>7359.74214036202</v>
      </c>
      <c r="AN54" s="21" t="n">
        <v>6866.26865671642</v>
      </c>
      <c r="AO54" s="21" t="n">
        <v>7138.35185773261</v>
      </c>
      <c r="AP54" s="21" t="n">
        <v>7056.20990790727</v>
      </c>
      <c r="AQ54" s="21" t="n">
        <v>6933.62718323277</v>
      </c>
      <c r="AR54" s="21" t="n">
        <v>6885.2892981899</v>
      </c>
      <c r="AS54" s="21" t="n">
        <v>7549.03080342966</v>
      </c>
      <c r="AU54" s="21" t="n">
        <v>5491.28993331216</v>
      </c>
      <c r="AV54" s="21" t="n">
        <v>7219.42711972055</v>
      </c>
      <c r="AW54" s="21" t="n">
        <v>6724.55192124484</v>
      </c>
      <c r="AY54" s="21" t="n">
        <v>5712.15909812639</v>
      </c>
      <c r="BA54" s="14" t="n">
        <v>5431.22991425849</v>
      </c>
      <c r="BB54" s="14" t="n">
        <v>5431.22991425849</v>
      </c>
      <c r="BC54" s="14" t="n">
        <v>5431.22991425849</v>
      </c>
      <c r="BD54" s="14" t="n">
        <v>5431.22991425849</v>
      </c>
      <c r="BE54" s="26" t="n">
        <v>5431.2330898698</v>
      </c>
      <c r="BF54" s="26" t="n">
        <v>5431.2330898698</v>
      </c>
      <c r="BG54" s="26" t="n">
        <v>5431.2330898698</v>
      </c>
      <c r="BH54" s="26" t="n">
        <v>5431.23467767545</v>
      </c>
      <c r="BI54" s="14" t="n">
        <v>5444.81867259447</v>
      </c>
      <c r="BJ54" s="26" t="n">
        <v>5516.11622737377</v>
      </c>
      <c r="BL54" s="26" t="n">
        <v>5468.68656716418</v>
      </c>
      <c r="BM54" s="14" t="n">
        <v>5468.68656716418</v>
      </c>
      <c r="BN54" s="14" t="n">
        <v>5468.68656716418</v>
      </c>
      <c r="BO54" s="14" t="n">
        <v>5462.83423308987</v>
      </c>
      <c r="BP54" s="14" t="n">
        <v>5639.91552873928</v>
      </c>
    </row>
    <row r="55" customFormat="false" ht="12.8" hidden="false" customHeight="false" outlineLevel="0" collapsed="false">
      <c r="J55" s="19"/>
      <c r="K55" s="19"/>
    </row>
    <row r="56" customFormat="false" ht="12.8" hidden="false" customHeight="false" outlineLevel="0" collapsed="false">
      <c r="A56" s="1" t="s">
        <v>187</v>
      </c>
      <c r="O56" s="1" t="n">
        <f aca="false">AVERAGE(O41,O43,O47,O48,O54)</f>
        <v>773673.6</v>
      </c>
      <c r="P56" s="1" t="n">
        <f aca="false">AVERAGE(P41,P43,P47,P48,P54)</f>
        <v>204124.4</v>
      </c>
      <c r="Q56" s="1" t="n">
        <f aca="false">AVERAGE(Q41,Q43,Q47,Q48,Q54)</f>
        <v>191239.6</v>
      </c>
      <c r="R56" s="1" t="n">
        <f aca="false">AVERAGE(R41,R43,R47,R48,R54)</f>
        <v>770012.357026358</v>
      </c>
      <c r="S56" s="1" t="n">
        <f aca="false">AVERAGE(S41,S43,S47,S48,S54)</f>
        <v>838536.238499841</v>
      </c>
      <c r="T56" s="1" t="n">
        <f aca="false">AVERAGE(T41,T43,T47,T48,T54)</f>
        <v>838536.238499841</v>
      </c>
      <c r="U56" s="1" t="n">
        <f aca="false">AVERAGE(U41,U43,U47,U48,U54)</f>
        <v>773736.119070181</v>
      </c>
      <c r="V56" s="1" t="n">
        <f aca="false">AVERAGE(V41,V43,V47,V48,V54)</f>
        <v>773736.119070181</v>
      </c>
      <c r="W56" s="1" t="n">
        <f aca="false">AVERAGE(W41,W43,W47,W48,W54)</f>
        <v>838536.238499841</v>
      </c>
      <c r="X56" s="1" t="n">
        <f aca="false">AVERAGE(X41,X43,X47,X48,X54)</f>
        <v>838536.238499841</v>
      </c>
      <c r="AA56" s="1" t="n">
        <f aca="false">AVERAGE(AA41,AA43,AA47,AA48,AA54)</f>
        <v>202614.548179105</v>
      </c>
      <c r="AB56" s="1" t="n">
        <f aca="false">AVERAGE(AB41,AB43,AB47,AB48,AB54)</f>
        <v>203543.648406478</v>
      </c>
      <c r="AC56" s="1" t="n">
        <f aca="false">AVERAGE(AC41,AC43,AC47,AC48,AC54)</f>
        <v>203088.073303271</v>
      </c>
      <c r="AD56" s="1" t="n">
        <f aca="false">AVERAGE(AD41,AD43,AD47,AD48,AD54)</f>
        <v>203088.073303271</v>
      </c>
    </row>
    <row r="57" customFormat="false" ht="12.8" hidden="false" customHeight="false" outlineLevel="0" collapsed="false">
      <c r="A57" s="1" t="s">
        <v>188</v>
      </c>
      <c r="O57" s="1" t="n">
        <f aca="false">AVERAGE(O38,O41,O43,O47,O48,O54,)</f>
        <v>2652624</v>
      </c>
      <c r="P57" s="1" t="n">
        <f aca="false">AVERAGE(P38,P41,P43,P47,P48,P54,)</f>
        <v>1822803.14285714</v>
      </c>
      <c r="Q57" s="1" t="n">
        <f aca="false">AVERAGE(Q38,Q41,Q43,Q47,Q48,Q54,)</f>
        <v>1668028.28571429</v>
      </c>
      <c r="U57" s="1" t="n">
        <f aca="false">AVERAGE(U38,U41,U43,U47,U48,U54,)</f>
        <v>2652695.5064787</v>
      </c>
      <c r="V57" s="1" t="n">
        <f aca="false">AVERAGE(V38,V41,V43,V47,V48,V54,)</f>
        <v>2652695.5064787</v>
      </c>
      <c r="AA57" s="1" t="n">
        <f aca="false">AVERAGE(AA38,AA41,AA43,AA47,AA48,AA54,)</f>
        <v>1829677.08584222</v>
      </c>
      <c r="AB57" s="1" t="n">
        <f aca="false">AVERAGE(AB38,AB41,AB43,AB47,AB48,AB54,)</f>
        <v>1883269.02600463</v>
      </c>
      <c r="AC57" s="1" t="n">
        <f aca="false">AVERAGE(AC38,AC41,AC43,AC47,AC48,AC54,)</f>
        <v>1873862.59807377</v>
      </c>
      <c r="AD57" s="1" t="n">
        <f aca="false">AVERAGE(AD38,AD41,AD43,AD47,AD48,AD54,)</f>
        <v>1873862.59807377</v>
      </c>
    </row>
    <row r="62" customFormat="false" ht="12.8" hidden="false" customHeight="false" outlineLevel="0" collapsed="false">
      <c r="BE62" s="2"/>
      <c r="BF62" s="2"/>
      <c r="BG62" s="2"/>
    </row>
    <row r="63" customFormat="false" ht="12.8" hidden="false" customHeight="false" outlineLevel="0" collapsed="false">
      <c r="BE63" s="8" t="s">
        <v>123</v>
      </c>
      <c r="BF63" s="8" t="s">
        <v>130</v>
      </c>
      <c r="BG63" s="8" t="s">
        <v>128</v>
      </c>
    </row>
    <row r="67" customFormat="false" ht="12.8" hidden="false" customHeight="false" outlineLevel="0" collapsed="false">
      <c r="AA67" s="2"/>
      <c r="AB67" s="2"/>
      <c r="AC67" s="2"/>
      <c r="AD67" s="2"/>
      <c r="AF67" s="2"/>
      <c r="AG67" s="2"/>
      <c r="AH67" s="2"/>
    </row>
    <row r="68" customFormat="false" ht="12.8" hidden="false" customHeight="false" outlineLevel="0" collapsed="false">
      <c r="AF68" s="2"/>
      <c r="AG68" s="2"/>
      <c r="AH68" s="2"/>
      <c r="BC68" s="1" t="s">
        <v>256</v>
      </c>
      <c r="BE68" s="1" t="s">
        <v>221</v>
      </c>
      <c r="BF68" s="1" t="s">
        <v>257</v>
      </c>
      <c r="BG68" s="1" t="s">
        <v>258</v>
      </c>
      <c r="BI68" s="12" t="s">
        <v>259</v>
      </c>
      <c r="BK68" s="11" t="s">
        <v>260</v>
      </c>
    </row>
    <row r="69" customFormat="false" ht="12.8" hidden="false" customHeight="false" outlineLevel="0" collapsed="false">
      <c r="AA69" s="19"/>
      <c r="AF69" s="2"/>
      <c r="AG69" s="2"/>
      <c r="AH69" s="2"/>
      <c r="BC69" s="1" t="s">
        <v>261</v>
      </c>
      <c r="BE69" s="19" t="n">
        <v>136.18</v>
      </c>
      <c r="BF69" s="19" t="n">
        <v>136.18</v>
      </c>
      <c r="BG69" s="19" t="n">
        <v>136.18</v>
      </c>
      <c r="BI69" s="1" t="n">
        <v>132.78</v>
      </c>
      <c r="BK69" s="19" t="n">
        <v>136.18</v>
      </c>
    </row>
    <row r="70" customFormat="false" ht="12.8" hidden="false" customHeight="false" outlineLevel="0" collapsed="false">
      <c r="AA70" s="19"/>
      <c r="AB70" s="2"/>
      <c r="AF70" s="2"/>
      <c r="AG70" s="2"/>
      <c r="AH70" s="2"/>
      <c r="BE70" s="2"/>
      <c r="BF70" s="2"/>
      <c r="BG70" s="2"/>
      <c r="BK70" s="2"/>
    </row>
    <row r="71" customFormat="false" ht="12.8" hidden="false" customHeight="false" outlineLevel="0" collapsed="false">
      <c r="AF71" s="2"/>
      <c r="AG71" s="2"/>
      <c r="AH71" s="2"/>
      <c r="BC71" s="1" t="s">
        <v>262</v>
      </c>
      <c r="BE71" s="19" t="n">
        <v>93180.82</v>
      </c>
      <c r="BF71" s="19" t="n">
        <v>93180.82</v>
      </c>
      <c r="BG71" s="19" t="n">
        <v>93180.82</v>
      </c>
      <c r="BI71" s="1" t="n">
        <v>95488.12</v>
      </c>
      <c r="BK71" s="19" t="n">
        <v>93179.02</v>
      </c>
    </row>
    <row r="72" customFormat="false" ht="12.8" hidden="false" customHeight="false" outlineLevel="0" collapsed="false">
      <c r="Y72" s="1" t="s">
        <v>256</v>
      </c>
      <c r="AA72" s="1" t="s">
        <v>109</v>
      </c>
      <c r="AB72" s="1" t="s">
        <v>193</v>
      </c>
      <c r="AC72" s="1" t="s">
        <v>194</v>
      </c>
      <c r="AD72" s="1" t="s">
        <v>195</v>
      </c>
      <c r="AF72" s="2"/>
      <c r="AG72" s="2"/>
      <c r="AH72" s="2"/>
    </row>
    <row r="73" customFormat="false" ht="12.8" hidden="false" customHeight="false" outlineLevel="0" collapsed="false">
      <c r="Y73" s="1" t="s">
        <v>261</v>
      </c>
      <c r="AA73" s="19" t="n">
        <v>341.28</v>
      </c>
      <c r="AB73" s="19" t="n">
        <v>336.96</v>
      </c>
      <c r="AC73" s="19" t="n">
        <v>340.92</v>
      </c>
      <c r="AD73" s="19" t="n">
        <v>341.36</v>
      </c>
      <c r="AF73" s="2"/>
      <c r="AG73" s="2"/>
      <c r="AH73" s="2"/>
    </row>
    <row r="74" customFormat="false" ht="12.8" hidden="false" customHeight="false" outlineLevel="0" collapsed="false">
      <c r="AA74" s="19"/>
      <c r="AB74" s="2"/>
      <c r="AC74" s="2"/>
      <c r="AD74" s="2"/>
      <c r="AF74" s="2"/>
      <c r="AG74" s="2"/>
      <c r="AH74" s="2"/>
      <c r="BI74" s="19"/>
      <c r="BK74" s="2"/>
    </row>
    <row r="75" customFormat="false" ht="12.8" hidden="false" customHeight="false" outlineLevel="0" collapsed="false">
      <c r="Y75" s="1" t="s">
        <v>262</v>
      </c>
      <c r="AA75" s="19" t="n">
        <v>112691.32</v>
      </c>
      <c r="AB75" s="19" t="n">
        <v>113503.12</v>
      </c>
      <c r="AC75" s="19" t="n">
        <v>115892.32</v>
      </c>
      <c r="AD75" s="19" t="n">
        <v>113397.12</v>
      </c>
      <c r="AF75" s="2"/>
      <c r="AG75" s="2"/>
      <c r="AH75" s="2"/>
      <c r="BI75" s="2"/>
      <c r="BK75" s="2"/>
    </row>
    <row r="76" customFormat="false" ht="12.8" hidden="false" customHeight="false" outlineLevel="0" collapsed="false">
      <c r="BI76" s="19"/>
      <c r="BK76" s="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Z5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Z29" activeCellId="1" sqref="BA61 Z29"/>
    </sheetView>
  </sheetViews>
  <sheetFormatPr defaultColWidth="11.53515625" defaultRowHeight="12.8" zeroHeight="false" outlineLevelRow="0" outlineLevelCol="0"/>
  <sheetData>
    <row r="2" customFormat="false" ht="12.8" hidden="false" customHeight="false" outlineLevel="0" collapsed="false">
      <c r="B2" s="2" t="s">
        <v>263</v>
      </c>
    </row>
    <row r="4" customFormat="false" ht="12.8" hidden="false" customHeight="false" outlineLevel="0" collapsed="false">
      <c r="B4" s="3" t="s">
        <v>264</v>
      </c>
      <c r="O4" s="3" t="s">
        <v>265</v>
      </c>
    </row>
    <row r="6" customFormat="false" ht="12.8" hidden="false" customHeight="false" outlineLevel="0" collapsed="false">
      <c r="B6" s="2" t="s">
        <v>266</v>
      </c>
      <c r="O6" s="2" t="s">
        <v>267</v>
      </c>
    </row>
    <row r="7" customFormat="false" ht="12.8" hidden="false" customHeight="false" outlineLevel="0" collapsed="false">
      <c r="C7" s="2" t="s">
        <v>268</v>
      </c>
      <c r="P7" s="2" t="s">
        <v>268</v>
      </c>
    </row>
    <row r="8" customFormat="false" ht="12.8" hidden="false" customHeight="false" outlineLevel="0" collapsed="false">
      <c r="C8" s="2" t="s">
        <v>269</v>
      </c>
      <c r="P8" s="2" t="s">
        <v>270</v>
      </c>
    </row>
    <row r="9" customFormat="false" ht="12.8" hidden="false" customHeight="false" outlineLevel="0" collapsed="false">
      <c r="D9" s="2" t="s">
        <v>271</v>
      </c>
      <c r="Q9" s="2" t="s">
        <v>272</v>
      </c>
    </row>
    <row r="10" customFormat="false" ht="12.8" hidden="false" customHeight="false" outlineLevel="0" collapsed="false">
      <c r="E10" s="2" t="s">
        <v>273</v>
      </c>
      <c r="I10" s="2" t="s">
        <v>274</v>
      </c>
      <c r="R10" s="2" t="s">
        <v>275</v>
      </c>
    </row>
    <row r="11" customFormat="false" ht="12.8" hidden="false" customHeight="false" outlineLevel="0" collapsed="false">
      <c r="E11" s="2" t="s">
        <v>275</v>
      </c>
      <c r="S11" s="2" t="s">
        <v>273</v>
      </c>
      <c r="W11" s="2" t="s">
        <v>274</v>
      </c>
    </row>
    <row r="12" customFormat="false" ht="12.8" hidden="false" customHeight="false" outlineLevel="0" collapsed="false">
      <c r="F12" s="2" t="s">
        <v>276</v>
      </c>
      <c r="S12" s="2" t="s">
        <v>276</v>
      </c>
    </row>
    <row r="13" customFormat="false" ht="12.8" hidden="false" customHeight="false" outlineLevel="0" collapsed="false">
      <c r="G13" s="2" t="s">
        <v>277</v>
      </c>
      <c r="T13" s="2" t="s">
        <v>278</v>
      </c>
      <c r="W13" s="2" t="s">
        <v>279</v>
      </c>
    </row>
    <row r="14" customFormat="false" ht="12.8" hidden="false" customHeight="false" outlineLevel="0" collapsed="false">
      <c r="F14" s="2" t="s">
        <v>280</v>
      </c>
      <c r="S14" s="2" t="s">
        <v>280</v>
      </c>
    </row>
    <row r="15" customFormat="false" ht="12.8" hidden="false" customHeight="false" outlineLevel="0" collapsed="false">
      <c r="F15" s="2" t="s">
        <v>281</v>
      </c>
      <c r="S15" s="2" t="s">
        <v>281</v>
      </c>
    </row>
    <row r="16" customFormat="false" ht="12.8" hidden="false" customHeight="false" outlineLevel="0" collapsed="false">
      <c r="G16" s="2" t="s">
        <v>282</v>
      </c>
      <c r="T16" s="2" t="s">
        <v>282</v>
      </c>
    </row>
    <row r="17" customFormat="false" ht="12.8" hidden="false" customHeight="false" outlineLevel="0" collapsed="false">
      <c r="G17" s="2" t="s">
        <v>283</v>
      </c>
      <c r="T17" s="2" t="s">
        <v>283</v>
      </c>
    </row>
    <row r="18" customFormat="false" ht="12.8" hidden="false" customHeight="false" outlineLevel="0" collapsed="false">
      <c r="F18" s="2" t="s">
        <v>284</v>
      </c>
      <c r="S18" s="2" t="s">
        <v>284</v>
      </c>
    </row>
    <row r="19" customFormat="false" ht="12.8" hidden="false" customHeight="false" outlineLevel="0" collapsed="false">
      <c r="G19" s="2" t="s">
        <v>285</v>
      </c>
      <c r="T19" s="2" t="s">
        <v>285</v>
      </c>
    </row>
    <row r="20" customFormat="false" ht="12.8" hidden="false" customHeight="false" outlineLevel="0" collapsed="false">
      <c r="E20" s="2" t="s">
        <v>286</v>
      </c>
      <c r="R20" s="2" t="s">
        <v>286</v>
      </c>
    </row>
    <row r="21" customFormat="false" ht="12.8" hidden="false" customHeight="false" outlineLevel="0" collapsed="false">
      <c r="D21" s="2" t="s">
        <v>287</v>
      </c>
      <c r="Q21" s="2" t="s">
        <v>287</v>
      </c>
    </row>
    <row r="22" customFormat="false" ht="12.8" hidden="false" customHeight="false" outlineLevel="0" collapsed="false">
      <c r="E22" s="2" t="s">
        <v>288</v>
      </c>
      <c r="R22" s="2" t="s">
        <v>288</v>
      </c>
    </row>
    <row r="23" customFormat="false" ht="12.8" hidden="false" customHeight="false" outlineLevel="0" collapsed="false">
      <c r="E23" s="2" t="s">
        <v>289</v>
      </c>
      <c r="R23" s="2" t="s">
        <v>289</v>
      </c>
    </row>
    <row r="24" customFormat="false" ht="12.8" hidden="false" customHeight="false" outlineLevel="0" collapsed="false">
      <c r="E24" s="2" t="s">
        <v>290</v>
      </c>
      <c r="R24" s="2" t="s">
        <v>290</v>
      </c>
    </row>
    <row r="25" customFormat="false" ht="12.8" hidden="false" customHeight="false" outlineLevel="0" collapsed="false">
      <c r="D25" s="2" t="s">
        <v>291</v>
      </c>
      <c r="H25" s="2" t="s">
        <v>292</v>
      </c>
      <c r="Q25" s="2" t="s">
        <v>293</v>
      </c>
    </row>
    <row r="26" customFormat="false" ht="12.8" hidden="false" customHeight="false" outlineLevel="0" collapsed="false">
      <c r="E26" s="2" t="s">
        <v>289</v>
      </c>
      <c r="R26" s="2" t="s">
        <v>289</v>
      </c>
    </row>
    <row r="27" customFormat="false" ht="12.8" hidden="false" customHeight="false" outlineLevel="0" collapsed="false">
      <c r="E27" s="2" t="s">
        <v>290</v>
      </c>
      <c r="R27" s="2" t="s">
        <v>290</v>
      </c>
    </row>
    <row r="28" customFormat="false" ht="12.8" hidden="false" customHeight="false" outlineLevel="0" collapsed="false">
      <c r="D28" s="2" t="s">
        <v>293</v>
      </c>
      <c r="H28" s="2" t="s">
        <v>294</v>
      </c>
      <c r="Q28" s="2" t="s">
        <v>295</v>
      </c>
      <c r="Z28" s="2" t="s">
        <v>296</v>
      </c>
    </row>
    <row r="29" customFormat="false" ht="12.8" hidden="false" customHeight="false" outlineLevel="0" collapsed="false">
      <c r="E29" s="2" t="s">
        <v>289</v>
      </c>
      <c r="R29" s="2" t="s">
        <v>289</v>
      </c>
    </row>
    <row r="30" customFormat="false" ht="12.8" hidden="false" customHeight="false" outlineLevel="0" collapsed="false">
      <c r="E30" s="2" t="s">
        <v>290</v>
      </c>
      <c r="R30" s="2" t="s">
        <v>290</v>
      </c>
    </row>
    <row r="31" customFormat="false" ht="12.8" hidden="false" customHeight="false" outlineLevel="0" collapsed="false">
      <c r="D31" s="2" t="s">
        <v>297</v>
      </c>
      <c r="Q31" s="2" t="s">
        <v>298</v>
      </c>
    </row>
    <row r="32" customFormat="false" ht="12.8" hidden="false" customHeight="false" outlineLevel="0" collapsed="false">
      <c r="D32" s="2" t="s">
        <v>299</v>
      </c>
      <c r="R32" s="2" t="s">
        <v>300</v>
      </c>
      <c r="U32" s="2" t="s">
        <v>301</v>
      </c>
    </row>
    <row r="33" customFormat="false" ht="12.8" hidden="false" customHeight="false" outlineLevel="0" collapsed="false">
      <c r="E33" s="2" t="s">
        <v>302</v>
      </c>
      <c r="R33" s="2" t="s">
        <v>303</v>
      </c>
    </row>
    <row r="34" customFormat="false" ht="12.8" hidden="false" customHeight="false" outlineLevel="0" collapsed="false">
      <c r="S34" s="2" t="s">
        <v>289</v>
      </c>
    </row>
    <row r="35" customFormat="false" ht="12.8" hidden="false" customHeight="false" outlineLevel="0" collapsed="false">
      <c r="E35" s="45" t="s">
        <v>304</v>
      </c>
      <c r="S35" s="2" t="s">
        <v>290</v>
      </c>
    </row>
    <row r="36" customFormat="false" ht="12.8" hidden="false" customHeight="false" outlineLevel="0" collapsed="false">
      <c r="E36" s="2" t="s">
        <v>305</v>
      </c>
      <c r="Q36" s="2" t="s">
        <v>306</v>
      </c>
    </row>
    <row r="37" customFormat="false" ht="12.8" hidden="false" customHeight="false" outlineLevel="0" collapsed="false">
      <c r="F37" s="2" t="s">
        <v>307</v>
      </c>
    </row>
    <row r="38" customFormat="false" ht="12.8" hidden="false" customHeight="false" outlineLevel="0" collapsed="false">
      <c r="F38" s="2" t="s">
        <v>308</v>
      </c>
    </row>
    <row r="39" customFormat="false" ht="12.8" hidden="false" customHeight="false" outlineLevel="0" collapsed="false">
      <c r="F39" s="2" t="s">
        <v>309</v>
      </c>
    </row>
    <row r="40" customFormat="false" ht="12.8" hidden="false" customHeight="false" outlineLevel="0" collapsed="false">
      <c r="F40" s="2" t="s">
        <v>310</v>
      </c>
    </row>
    <row r="41" customFormat="false" ht="12.8" hidden="false" customHeight="false" outlineLevel="0" collapsed="false">
      <c r="G41" s="2" t="s">
        <v>311</v>
      </c>
    </row>
    <row r="42" customFormat="false" ht="12.8" hidden="false" customHeight="false" outlineLevel="0" collapsed="false">
      <c r="H42" s="2" t="s">
        <v>312</v>
      </c>
    </row>
    <row r="43" customFormat="false" ht="12.8" hidden="false" customHeight="false" outlineLevel="0" collapsed="false">
      <c r="H43" s="2" t="s">
        <v>313</v>
      </c>
    </row>
    <row r="44" customFormat="false" ht="12.8" hidden="false" customHeight="false" outlineLevel="0" collapsed="false">
      <c r="I44" s="2" t="s">
        <v>314</v>
      </c>
    </row>
    <row r="45" customFormat="false" ht="12.8" hidden="false" customHeight="false" outlineLevel="0" collapsed="false">
      <c r="J45" s="2" t="s">
        <v>315</v>
      </c>
    </row>
    <row r="46" customFormat="false" ht="12.8" hidden="false" customHeight="false" outlineLevel="0" collapsed="false">
      <c r="F46" s="2" t="s">
        <v>316</v>
      </c>
    </row>
    <row r="47" customFormat="false" ht="12.8" hidden="false" customHeight="false" outlineLevel="0" collapsed="false">
      <c r="G47" s="2" t="s">
        <v>317</v>
      </c>
      <c r="L47" s="2" t="s">
        <v>318</v>
      </c>
    </row>
    <row r="48" customFormat="false" ht="12.8" hidden="false" customHeight="false" outlineLevel="0" collapsed="false">
      <c r="G48" s="2" t="s">
        <v>313</v>
      </c>
    </row>
    <row r="49" customFormat="false" ht="12.8" hidden="false" customHeight="false" outlineLevel="0" collapsed="false">
      <c r="H49" s="2" t="s">
        <v>314</v>
      </c>
    </row>
    <row r="50" customFormat="false" ht="12.8" hidden="false" customHeight="false" outlineLevel="0" collapsed="false">
      <c r="I50" s="2" t="s">
        <v>315</v>
      </c>
    </row>
    <row r="52" customFormat="false" ht="12.8" hidden="false" customHeight="false" outlineLevel="0" collapsed="false">
      <c r="D52" s="2" t="s">
        <v>319</v>
      </c>
    </row>
    <row r="53" customFormat="false" ht="12.8" hidden="false" customHeight="false" outlineLevel="0" collapsed="false">
      <c r="E53" s="2" t="s">
        <v>320</v>
      </c>
    </row>
    <row r="54" customFormat="false" ht="12.8" hidden="false" customHeight="false" outlineLevel="0" collapsed="false">
      <c r="D54" s="2" t="s">
        <v>286</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15601</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2025-06-04T15:11:40Z</dcterms:created>
  <dc:creator/>
  <dc:description/>
  <dc:language>en-NZ</dc:language>
  <cp:lastModifiedBy/>
  <dcterms:modified xsi:type="dcterms:W3CDTF">2025-09-24T13:04:31Z</dcterms:modified>
  <cp:revision>360</cp:revision>
  <dc:subject/>
  <dc:title/>
</cp:coreProperties>
</file>

<file path=docProps/custom.xml><?xml version="1.0" encoding="utf-8"?>
<Properties xmlns="http://schemas.openxmlformats.org/officeDocument/2006/custom-properties" xmlns:vt="http://schemas.openxmlformats.org/officeDocument/2006/docPropsVTypes"/>
</file>